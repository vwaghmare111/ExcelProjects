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0" yWindow="465" windowWidth="20730" windowHeight="11760" tabRatio="824" firstSheet="1" activeTab="1"/>
  </bookViews>
  <sheets>
    <sheet name="Directions to Solve the case" sheetId="3" state="hidden" r:id="rId1"/>
    <sheet name="Assignment" sheetId="2" r:id="rId2"/>
    <sheet name="Sheet1" sheetId="7" state="hidden" r:id="rId3"/>
  </sheets>
  <definedNames>
    <definedName name="Cases">Assignment!#REF!</definedName>
  </definedNames>
  <calcPr calcId="124519" concurrentCalc="0"/>
</workbook>
</file>

<file path=xl/calcChain.xml><?xml version="1.0" encoding="utf-8"?>
<calcChain xmlns="http://schemas.openxmlformats.org/spreadsheetml/2006/main">
  <c r="I102" i="2"/>
  <c r="E69"/>
  <c r="D10"/>
  <c r="D17"/>
  <c r="D28"/>
  <c r="D29"/>
  <c r="E27"/>
  <c r="E10"/>
  <c r="E17"/>
  <c r="E28"/>
  <c r="E29"/>
  <c r="F27"/>
  <c r="F10"/>
  <c r="F17"/>
  <c r="F28"/>
  <c r="F29"/>
  <c r="G27"/>
  <c r="G10"/>
  <c r="G17"/>
  <c r="G28"/>
  <c r="G29"/>
  <c r="H27"/>
  <c r="H29"/>
  <c r="I27"/>
  <c r="I29"/>
  <c r="J27"/>
  <c r="J29"/>
  <c r="K27"/>
  <c r="L28"/>
  <c r="H92"/>
  <c r="D11"/>
  <c r="D63"/>
  <c r="D78"/>
  <c r="D79"/>
  <c r="D57"/>
  <c r="D81"/>
  <c r="D16"/>
  <c r="D19"/>
  <c r="D58"/>
  <c r="D82"/>
  <c r="D83"/>
  <c r="D85"/>
  <c r="D88"/>
  <c r="E87"/>
  <c r="E11"/>
  <c r="E63"/>
  <c r="E78"/>
  <c r="E79"/>
  <c r="E57"/>
  <c r="E81"/>
  <c r="E16"/>
  <c r="E19"/>
  <c r="E58"/>
  <c r="E82"/>
  <c r="E83"/>
  <c r="E85"/>
  <c r="E88"/>
  <c r="F87"/>
  <c r="F11"/>
  <c r="F63"/>
  <c r="F78"/>
  <c r="F79"/>
  <c r="F57"/>
  <c r="F81"/>
  <c r="F16"/>
  <c r="F19"/>
  <c r="F58"/>
  <c r="F82"/>
  <c r="F83"/>
  <c r="F85"/>
  <c r="F88"/>
  <c r="G87"/>
  <c r="G11"/>
  <c r="G63"/>
  <c r="G78"/>
  <c r="G79"/>
  <c r="G57"/>
  <c r="G81"/>
  <c r="G16"/>
  <c r="G19"/>
  <c r="G58"/>
  <c r="G82"/>
  <c r="G83"/>
  <c r="G85"/>
  <c r="G88"/>
  <c r="H87"/>
  <c r="H93"/>
  <c r="H94"/>
  <c r="H49"/>
  <c r="H35"/>
  <c r="H43"/>
  <c r="H45"/>
  <c r="H46"/>
  <c r="H11"/>
  <c r="H47"/>
  <c r="H48"/>
  <c r="H50" l="1"/>
  <c r="H51"/>
  <c r="H52"/>
  <c r="H73"/>
  <c r="H67"/>
  <c r="H75"/>
  <c r="H74"/>
  <c r="H76"/>
  <c r="H63"/>
  <c r="H78"/>
  <c r="H79"/>
  <c r="H57"/>
  <c r="H81"/>
  <c r="H19"/>
  <c r="H58"/>
  <c r="H82"/>
  <c r="H83"/>
  <c r="H85"/>
  <c r="H88"/>
  <c r="I87"/>
  <c r="I93"/>
  <c r="I92"/>
  <c r="I94"/>
  <c r="I49"/>
  <c r="I34"/>
  <c r="I35"/>
  <c r="I43"/>
  <c r="I44"/>
  <c r="I45"/>
  <c r="I46"/>
  <c r="I11"/>
  <c r="I47"/>
  <c r="I48"/>
  <c r="I50"/>
  <c r="I51"/>
  <c r="I52"/>
  <c r="I73"/>
  <c r="I67"/>
  <c r="I75"/>
  <c r="I74"/>
  <c r="I76"/>
  <c r="I57"/>
  <c r="I81"/>
  <c r="I19"/>
  <c r="I58"/>
  <c r="I82"/>
  <c r="I83"/>
  <c r="I63"/>
  <c r="I78"/>
  <c r="I79"/>
  <c r="I85"/>
  <c r="I88"/>
  <c r="J87"/>
  <c r="J93"/>
  <c r="J92"/>
  <c r="J94"/>
  <c r="J49"/>
  <c r="J34"/>
  <c r="J35"/>
  <c r="J43"/>
  <c r="J44"/>
  <c r="J45"/>
  <c r="J46"/>
  <c r="J11"/>
  <c r="J47"/>
  <c r="J48"/>
  <c r="J50"/>
  <c r="J51"/>
  <c r="J52"/>
  <c r="J73"/>
  <c r="J67"/>
  <c r="J75"/>
  <c r="J74"/>
  <c r="J76"/>
  <c r="J57"/>
  <c r="J81"/>
  <c r="J19"/>
  <c r="J58"/>
  <c r="J82"/>
  <c r="J83"/>
  <c r="J63"/>
  <c r="J78"/>
  <c r="J79"/>
  <c r="J85"/>
  <c r="J88"/>
  <c r="K87"/>
  <c r="K93"/>
  <c r="K92"/>
  <c r="K94"/>
  <c r="K49"/>
  <c r="K34"/>
  <c r="K35"/>
  <c r="K43"/>
  <c r="K44"/>
  <c r="K45"/>
  <c r="K46"/>
  <c r="K11"/>
  <c r="K47"/>
  <c r="K48"/>
  <c r="K50"/>
  <c r="K51"/>
  <c r="K52"/>
  <c r="K73"/>
  <c r="K67"/>
  <c r="K75"/>
  <c r="K74"/>
  <c r="K76"/>
  <c r="K29"/>
  <c r="K57"/>
  <c r="K81"/>
  <c r="K19"/>
  <c r="K58"/>
  <c r="K82"/>
  <c r="K83"/>
  <c r="K63"/>
  <c r="K78"/>
  <c r="K79"/>
  <c r="K85"/>
  <c r="K88"/>
  <c r="L87"/>
  <c r="L93"/>
  <c r="L27"/>
  <c r="L92"/>
  <c r="L94"/>
  <c r="L49"/>
  <c r="H36"/>
  <c r="I36"/>
  <c r="H44"/>
  <c r="J36"/>
  <c r="K36"/>
  <c r="L34"/>
  <c r="L35"/>
  <c r="L43"/>
  <c r="L36"/>
  <c r="L44"/>
  <c r="L45"/>
  <c r="L46"/>
  <c r="L11"/>
  <c r="L47"/>
  <c r="L48"/>
  <c r="L50"/>
  <c r="L51"/>
  <c r="G23" l="1"/>
  <c r="G24"/>
  <c r="D75"/>
  <c r="D67"/>
  <c r="G104"/>
  <c r="G105"/>
  <c r="G106"/>
  <c r="G107"/>
  <c r="J102"/>
  <c r="K102"/>
  <c r="L102"/>
  <c r="H98"/>
  <c r="I98"/>
  <c r="J98"/>
  <c r="K98"/>
  <c r="L52"/>
  <c r="L73"/>
  <c r="L67"/>
  <c r="L75"/>
  <c r="L74"/>
  <c r="L76"/>
  <c r="L63"/>
  <c r="L78"/>
  <c r="L79"/>
  <c r="L29"/>
  <c r="L57"/>
  <c r="L81"/>
  <c r="L98"/>
  <c r="D98"/>
  <c r="E98"/>
  <c r="F98"/>
  <c r="G98"/>
  <c r="C103"/>
  <c r="C102"/>
  <c r="G12"/>
  <c r="E67"/>
  <c r="F67"/>
  <c r="G67"/>
  <c r="D12"/>
  <c r="E12"/>
  <c r="F12"/>
  <c r="H34"/>
  <c r="L19"/>
  <c r="B92"/>
  <c r="D76"/>
  <c r="E75"/>
  <c r="E76"/>
  <c r="F75"/>
  <c r="F76"/>
  <c r="G73"/>
  <c r="G75"/>
  <c r="G74"/>
  <c r="G76"/>
  <c r="L58"/>
  <c r="G59"/>
  <c r="H59"/>
  <c r="I59"/>
  <c r="J59"/>
  <c r="K59"/>
  <c r="L59"/>
  <c r="K60"/>
  <c r="L60"/>
  <c r="G64"/>
  <c r="H64"/>
  <c r="I64"/>
  <c r="J64"/>
  <c r="K64"/>
  <c r="L64"/>
  <c r="K65"/>
  <c r="L65"/>
  <c r="K66"/>
  <c r="L82"/>
  <c r="L83"/>
  <c r="L85"/>
  <c r="L88"/>
  <c r="L66"/>
  <c r="K68"/>
  <c r="L68"/>
  <c r="K69"/>
  <c r="L69"/>
  <c r="D23"/>
  <c r="D24"/>
  <c r="H20" i="7"/>
  <c r="G20"/>
  <c r="F20"/>
  <c r="E20"/>
  <c r="D20"/>
  <c r="C20"/>
  <c r="B20"/>
  <c r="H18"/>
  <c r="G18"/>
  <c r="F18"/>
  <c r="E18"/>
  <c r="D18"/>
  <c r="C18"/>
  <c r="B18"/>
  <c r="H16"/>
  <c r="G16"/>
  <c r="F16"/>
  <c r="E16"/>
  <c r="D16"/>
  <c r="C16"/>
  <c r="B16"/>
  <c r="H14"/>
  <c r="G14"/>
  <c r="F14"/>
  <c r="E14"/>
  <c r="D14"/>
  <c r="C14"/>
  <c r="B14"/>
  <c r="H13"/>
  <c r="G13"/>
  <c r="F13"/>
  <c r="E13"/>
  <c r="D13"/>
  <c r="C13"/>
  <c r="H12"/>
  <c r="G12"/>
  <c r="F12"/>
  <c r="E12"/>
  <c r="D12"/>
  <c r="C12"/>
  <c r="G102" i="2"/>
  <c r="D87"/>
  <c r="F74"/>
  <c r="E74"/>
  <c r="D74"/>
  <c r="F73"/>
  <c r="E73"/>
  <c r="D73"/>
  <c r="J66"/>
  <c r="J65"/>
  <c r="J68"/>
  <c r="J60"/>
  <c r="J69"/>
  <c r="I66"/>
  <c r="I65"/>
  <c r="I68"/>
  <c r="I60"/>
  <c r="I69"/>
  <c r="H66"/>
  <c r="H65"/>
  <c r="H68"/>
  <c r="H60"/>
  <c r="H69"/>
  <c r="G66"/>
  <c r="G65"/>
  <c r="G68"/>
  <c r="G60"/>
  <c r="G69"/>
  <c r="F65"/>
  <c r="F66"/>
  <c r="F68"/>
  <c r="F60"/>
  <c r="F69"/>
  <c r="E65"/>
  <c r="E66"/>
  <c r="E68"/>
  <c r="E60"/>
  <c r="D65"/>
  <c r="D66"/>
  <c r="D68"/>
  <c r="D60"/>
  <c r="D69"/>
  <c r="F64"/>
  <c r="E64"/>
  <c r="D64"/>
  <c r="F59"/>
  <c r="E59"/>
  <c r="D59"/>
  <c r="D27"/>
  <c r="F23"/>
  <c r="F24"/>
  <c r="E23"/>
  <c r="E24"/>
  <c r="B17"/>
</calcChain>
</file>

<file path=xl/comments1.xml><?xml version="1.0" encoding="utf-8"?>
<comments xmlns="http://schemas.openxmlformats.org/spreadsheetml/2006/main">
  <authors>
    <author>DnB</author>
  </authors>
  <commentList>
    <comment ref="B45" authorId="0">
      <text>
        <r>
          <rPr>
            <sz val="8"/>
            <color indexed="81"/>
            <rFont val="Tahoma"/>
            <family val="2"/>
          </rPr>
          <t xml:space="preserve">
S&amp;A costs are 25% of revenues for that year.</t>
        </r>
      </text>
    </comment>
    <comment ref="A47" authorId="0">
      <text>
        <r>
          <rPr>
            <sz val="8"/>
            <color indexed="81"/>
            <rFont val="Tahoma"/>
            <family val="2"/>
          </rPr>
          <t xml:space="preserve">
The equipment life is 4 years.
Depreciation method to be followed is Straight Line Method with 0 salvage value.</t>
        </r>
      </text>
    </comment>
    <comment ref="B51" authorId="0">
      <text>
        <r>
          <rPr>
            <sz val="8"/>
            <color indexed="81"/>
            <rFont val="Tahoma"/>
            <family val="2"/>
          </rPr>
          <t xml:space="preserve">
Tax rate is 30% of the earnings before tax (EBT) for that period.</t>
        </r>
      </text>
    </comment>
    <comment ref="B64" authorId="0">
      <text>
        <r>
          <rPr>
            <sz val="8"/>
            <color indexed="81"/>
            <rFont val="Tahoma"/>
            <family val="2"/>
          </rPr>
          <t xml:space="preserve">
The equipment life is 4 years.
Depreciation method to be followed is Straight Line Method with 0 salvage value.</t>
        </r>
      </text>
    </comment>
    <comment ref="B67" authorId="0">
      <text>
        <r>
          <rPr>
            <sz val="8"/>
            <color indexed="81"/>
            <rFont val="Tahoma"/>
            <family val="2"/>
          </rPr>
          <t xml:space="preserve">
Working Capital every year is 10% of revenues done by the company in that year.</t>
        </r>
      </text>
    </comment>
    <comment ref="A92" authorId="0">
      <text>
        <r>
          <rPr>
            <sz val="8"/>
            <color indexed="81"/>
            <rFont val="Tahoma"/>
            <family val="2"/>
          </rPr>
          <t xml:space="preserve">
Interest Expense is to be computed based on Beginning of Period Debt</t>
        </r>
      </text>
    </comment>
    <comment ref="A93" authorId="0">
      <text>
        <r>
          <rPr>
            <sz val="8"/>
            <color indexed="81"/>
            <rFont val="Tahoma"/>
            <family val="2"/>
          </rPr>
          <t xml:space="preserve">
Interest Income is to be computed based on Beginning of Period Cash</t>
        </r>
      </text>
    </comment>
  </commentList>
</comments>
</file>

<file path=xl/sharedStrings.xml><?xml version="1.0" encoding="utf-8"?>
<sst xmlns="http://schemas.openxmlformats.org/spreadsheetml/2006/main" count="120" uniqueCount="109">
  <si>
    <t>Sales</t>
  </si>
  <si>
    <t>Tax</t>
  </si>
  <si>
    <t>Depreciation</t>
  </si>
  <si>
    <t>Cash</t>
  </si>
  <si>
    <t>Total Assets</t>
  </si>
  <si>
    <t>Total Liabilities</t>
  </si>
  <si>
    <t>EBITDA</t>
  </si>
  <si>
    <t>Development Phase</t>
  </si>
  <si>
    <t>Phasing</t>
  </si>
  <si>
    <t>Hard Cost</t>
  </si>
  <si>
    <t>Funding Mix</t>
  </si>
  <si>
    <t>Equity</t>
  </si>
  <si>
    <t>Debt</t>
  </si>
  <si>
    <t>Checksum</t>
  </si>
  <si>
    <t>Closing Debt</t>
  </si>
  <si>
    <t>Development Stage</t>
  </si>
  <si>
    <t>Years</t>
  </si>
  <si>
    <t>Opening Debt</t>
  </si>
  <si>
    <t>Assumptions</t>
  </si>
  <si>
    <t>Growth in Cost Per Unit</t>
  </si>
  <si>
    <t>Income Statement</t>
  </si>
  <si>
    <t>Cost of Goods Sold</t>
  </si>
  <si>
    <t>Selling &amp; Administration Costs</t>
  </si>
  <si>
    <t>EBIT</t>
  </si>
  <si>
    <t>Interest, Net</t>
  </si>
  <si>
    <t>EBT</t>
  </si>
  <si>
    <t>PAT/NI</t>
  </si>
  <si>
    <t>Balance Sheet</t>
  </si>
  <si>
    <t>Liabilities</t>
  </si>
  <si>
    <t>Assets</t>
  </si>
  <si>
    <t>Accumulated Depreciation</t>
  </si>
  <si>
    <t>Working Capital</t>
  </si>
  <si>
    <t>Cash Flow Statement</t>
  </si>
  <si>
    <t>Net Income</t>
  </si>
  <si>
    <t>Change in W/C</t>
  </si>
  <si>
    <t>Net OCF</t>
  </si>
  <si>
    <t>Net ICF</t>
  </si>
  <si>
    <t>Net FCF</t>
  </si>
  <si>
    <t>Net Change in Cash</t>
  </si>
  <si>
    <t>BOP Cash</t>
  </si>
  <si>
    <t>EOP Cash</t>
  </si>
  <si>
    <t>Interest Expense</t>
  </si>
  <si>
    <t>Interest Income</t>
  </si>
  <si>
    <t>Project Life 4 Years</t>
  </si>
  <si>
    <t>Growth in Sales Volume</t>
  </si>
  <si>
    <t>Base</t>
  </si>
  <si>
    <t>Current Case</t>
  </si>
  <si>
    <t>Computation of Free Cash Flow</t>
  </si>
  <si>
    <t>Returns Analysis</t>
  </si>
  <si>
    <t>Net Present Value</t>
  </si>
  <si>
    <t>Internal Rate of Return</t>
  </si>
  <si>
    <r>
      <t xml:space="preserve">(Assumptions in </t>
    </r>
    <r>
      <rPr>
        <b/>
        <sz val="11"/>
        <color indexed="10"/>
        <rFont val="Calibri"/>
        <family val="2"/>
      </rPr>
      <t>Red,</t>
    </r>
    <r>
      <rPr>
        <sz val="11"/>
        <color theme="1"/>
        <rFont val="Calibri"/>
        <family val="2"/>
        <scheme val="minor"/>
      </rPr>
      <t xml:space="preserve"> Calculations in </t>
    </r>
    <r>
      <rPr>
        <b/>
        <sz val="11"/>
        <color indexed="8"/>
        <rFont val="Calibri"/>
        <family val="2"/>
      </rPr>
      <t>Black)</t>
    </r>
  </si>
  <si>
    <t>IRR Sensitivity with Initial Sales Price and Growth in Sales Volume</t>
  </si>
  <si>
    <t>Financial Model</t>
  </si>
  <si>
    <t>Please add appropriate formulae in the cells filled with the following color</t>
  </si>
  <si>
    <t>&lt;===</t>
  </si>
  <si>
    <t>Growth in Sales Price Per Unit</t>
  </si>
  <si>
    <t>Initial Sales Price Per Unit</t>
  </si>
  <si>
    <t>Initial Cost Price Per Unit</t>
  </si>
  <si>
    <t>Initial Sales Volume (Units)</t>
  </si>
  <si>
    <t>Selling and Administrative expense are 25% of revenues for that period</t>
  </si>
  <si>
    <t>Tax is 30% of Earnings before tax for that period</t>
  </si>
  <si>
    <t>Depreciation is to be calculated using Straight line method. Life of the equipment is 4 years and its salvage value is 0.</t>
  </si>
  <si>
    <t>Working capital requirement is 10% of revenues for that period</t>
  </si>
  <si>
    <t>Interest Expense is to be computed based on Beginning of Period Debt</t>
  </si>
  <si>
    <t>Interest Income is to be computed based on Beginning of Period Cash</t>
  </si>
  <si>
    <t>WACC for the project is 10%</t>
  </si>
  <si>
    <t>Complete the Income Statement only for the life of the project</t>
  </si>
  <si>
    <t>Complete the Balance Sheet and Cash Flow Statement for all the 7 years.</t>
  </si>
  <si>
    <t>The project is divided into 2 stages - Development and Life of project. Development stage of the project is completely built out in the model. Please do not disturb other formulae in the model. Only work in cells with fill color shown in step - 1</t>
  </si>
  <si>
    <r>
      <t xml:space="preserve">Assumptions are shown in </t>
    </r>
    <r>
      <rPr>
        <b/>
        <sz val="11"/>
        <color indexed="10"/>
        <rFont val="Calibri"/>
        <family val="2"/>
      </rPr>
      <t>Red</t>
    </r>
    <r>
      <rPr>
        <sz val="11"/>
        <color indexed="10"/>
        <rFont val="Calibri"/>
        <family val="2"/>
      </rPr>
      <t>.</t>
    </r>
    <r>
      <rPr>
        <sz val="11"/>
        <color theme="1"/>
        <rFont val="Calibri"/>
        <family val="2"/>
        <scheme val="minor"/>
      </rPr>
      <t xml:space="preserve"> Price and Quantity estimates are provided to complete the income statement. </t>
    </r>
  </si>
  <si>
    <t>Q</t>
  </si>
  <si>
    <t/>
  </si>
  <si>
    <t>Should Mr.Sharma invest in the project?</t>
  </si>
  <si>
    <t>Give reason for your advice</t>
  </si>
  <si>
    <t>Directions and Assumptions</t>
  </si>
  <si>
    <t>Questions</t>
  </si>
  <si>
    <t>Equity Capital</t>
  </si>
  <si>
    <t>Retained Earnings</t>
  </si>
  <si>
    <t>Debt Schedule</t>
  </si>
  <si>
    <t>Fixed Assets, Gross</t>
  </si>
  <si>
    <t>Capitalised Interest (Soft Cost)</t>
  </si>
  <si>
    <t>COD</t>
  </si>
  <si>
    <t>FIXED ASSET, NET</t>
  </si>
  <si>
    <t>CHANGE IN FIXED ASSET, GROSS</t>
  </si>
  <si>
    <t>CHANGE IN DEBT</t>
  </si>
  <si>
    <t>CHANGE IN EQUITY</t>
  </si>
  <si>
    <t>FCFE = OCF + ICF + CHANGE IN DEBT</t>
  </si>
  <si>
    <t>Total Project Cost for Period = HC + SC</t>
  </si>
  <si>
    <t>HC</t>
  </si>
  <si>
    <t>TPC</t>
  </si>
  <si>
    <t>SC = Int</t>
  </si>
  <si>
    <t>Int</t>
  </si>
  <si>
    <t>ITERATIONS</t>
  </si>
  <si>
    <t>SC = INT</t>
  </si>
  <si>
    <t>DEBT</t>
  </si>
  <si>
    <t>INTEREST</t>
  </si>
  <si>
    <t>ERROR</t>
  </si>
  <si>
    <t>ITER-1</t>
  </si>
  <si>
    <t>ITER-2</t>
  </si>
  <si>
    <t>ITER-3</t>
  </si>
  <si>
    <t>ITER-4</t>
  </si>
  <si>
    <t>ITER-5</t>
  </si>
  <si>
    <t>ITER-6</t>
  </si>
  <si>
    <t>ITER-7</t>
  </si>
  <si>
    <t>CHEKSUM</t>
  </si>
  <si>
    <t>Reject the project as IRR &lt; COST OF EQUITY and NPV is negative</t>
  </si>
  <si>
    <t xml:space="preserve">Capitalised Interest </t>
  </si>
  <si>
    <t>Additions / Repayment</t>
  </si>
</sst>
</file>

<file path=xl/styles.xml><?xml version="1.0" encoding="utf-8"?>
<styleSheet xmlns="http://schemas.openxmlformats.org/spreadsheetml/2006/main">
  <numFmts count="6">
    <numFmt numFmtId="43" formatCode="_(* #,##0.00_);_(* \(#,##0.00\);_(* &quot;-&quot;??_);_(@_)"/>
    <numFmt numFmtId="164" formatCode="_(* #,##0_);_(* \(#,##0\);_(* &quot;-&quot;??_);_(@_)"/>
    <numFmt numFmtId="165" formatCode="0.0%"/>
    <numFmt numFmtId="166" formatCode="_(* #,##0.0000_);_(* \(#,##0.0000\);_(* &quot;-&quot;??_);_(@_)"/>
    <numFmt numFmtId="167" formatCode="_(* #,##0.0000000_);_(* \(#,##0.0000000\);_(* &quot;-&quot;??_);_(@_)"/>
    <numFmt numFmtId="168" formatCode="_(* #,##0.000_);_(* \(#,##0.000\);_(* &quot;-&quot;??_);_(@_)"/>
  </numFmts>
  <fonts count="21">
    <font>
      <sz val="11"/>
      <color theme="1"/>
      <name val="Calibri"/>
      <family val="2"/>
      <scheme val="minor"/>
    </font>
    <font>
      <sz val="11"/>
      <color indexed="10"/>
      <name val="Calibri"/>
      <family val="2"/>
    </font>
    <font>
      <b/>
      <sz val="11"/>
      <color indexed="8"/>
      <name val="Calibri"/>
      <family val="2"/>
    </font>
    <font>
      <b/>
      <sz val="11"/>
      <color indexed="10"/>
      <name val="Calibri"/>
      <family val="2"/>
    </font>
    <font>
      <sz val="8"/>
      <color indexed="81"/>
      <name val="Tahoma"/>
      <family val="2"/>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i/>
      <sz val="11"/>
      <color theme="1"/>
      <name val="Calibri"/>
      <family val="2"/>
      <scheme val="minor"/>
    </font>
    <font>
      <i/>
      <sz val="11"/>
      <color rgb="FFFF0000"/>
      <name val="Calibri"/>
      <family val="2"/>
      <scheme val="minor"/>
    </font>
    <font>
      <b/>
      <u/>
      <sz val="11"/>
      <color theme="1"/>
      <name val="Calibri"/>
      <family val="2"/>
      <scheme val="minor"/>
    </font>
    <font>
      <b/>
      <i/>
      <sz val="10"/>
      <color rgb="FFFF0000"/>
      <name val="Calibri"/>
      <family val="2"/>
      <scheme val="minor"/>
    </font>
    <font>
      <b/>
      <sz val="11"/>
      <name val="Calibri"/>
      <family val="2"/>
      <scheme val="minor"/>
    </font>
    <font>
      <sz val="11"/>
      <name val="Calibri"/>
      <family val="2"/>
      <scheme val="minor"/>
    </font>
    <font>
      <b/>
      <sz val="11"/>
      <color rgb="FFFF0000"/>
      <name val="Calibri"/>
      <family val="2"/>
      <scheme val="minor"/>
    </font>
    <font>
      <b/>
      <sz val="18"/>
      <color theme="0"/>
      <name val="Calibri"/>
      <family val="2"/>
      <scheme val="minor"/>
    </font>
    <font>
      <b/>
      <sz val="14"/>
      <color theme="0"/>
      <name val="Calibri"/>
      <family val="2"/>
      <scheme val="minor"/>
    </font>
    <font>
      <sz val="8"/>
      <color rgb="FF000000"/>
      <name val="Tahoma"/>
      <family val="2"/>
    </font>
    <font>
      <b/>
      <sz val="11"/>
      <color theme="3"/>
      <name val="Calibri"/>
      <family val="2"/>
      <scheme val="minor"/>
    </font>
    <font>
      <sz val="11"/>
      <color theme="3"/>
      <name val="Calibri"/>
      <family val="2"/>
      <scheme val="minor"/>
    </font>
  </fonts>
  <fills count="9">
    <fill>
      <patternFill patternType="none"/>
    </fill>
    <fill>
      <patternFill patternType="gray125"/>
    </fill>
    <fill>
      <patternFill patternType="solid">
        <fgColor rgb="FFFFC000"/>
        <bgColor indexed="64"/>
      </patternFill>
    </fill>
    <fill>
      <patternFill patternType="solid">
        <fgColor rgb="FFC00000"/>
        <bgColor indexed="64"/>
      </patternFill>
    </fill>
    <fill>
      <patternFill patternType="solid">
        <fgColor theme="1" tint="0.249977111117893"/>
        <bgColor indexed="64"/>
      </patternFill>
    </fill>
    <fill>
      <patternFill patternType="solid">
        <fgColor theme="2"/>
        <bgColor indexed="64"/>
      </patternFill>
    </fill>
    <fill>
      <patternFill patternType="solid">
        <fgColor rgb="FFFFE9A3"/>
        <bgColor indexed="64"/>
      </patternFill>
    </fill>
    <fill>
      <patternFill patternType="solid">
        <fgColor rgb="FFFFFF00"/>
        <bgColor indexed="64"/>
      </patternFill>
    </fill>
    <fill>
      <patternFill patternType="solid">
        <fgColor rgb="FF92D050"/>
        <bgColor indexed="64"/>
      </patternFill>
    </fill>
  </fills>
  <borders count="15">
    <border>
      <left/>
      <right/>
      <top/>
      <bottom/>
      <diagonal/>
    </border>
    <border>
      <left/>
      <right/>
      <top/>
      <bottom style="thin">
        <color auto="1"/>
      </bottom>
      <diagonal/>
    </border>
    <border>
      <left/>
      <right/>
      <top style="thin">
        <color auto="1"/>
      </top>
      <bottom style="double">
        <color auto="1"/>
      </bottom>
      <diagonal/>
    </border>
    <border>
      <left/>
      <right/>
      <top style="thin">
        <color auto="1"/>
      </top>
      <bottom style="thin">
        <color auto="1"/>
      </bottom>
      <diagonal/>
    </border>
    <border>
      <left/>
      <right/>
      <top/>
      <bottom style="double">
        <color auto="1"/>
      </bottom>
      <diagonal/>
    </border>
    <border>
      <left/>
      <right style="thin">
        <color auto="1"/>
      </right>
      <top/>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style="thin">
        <color auto="1"/>
      </bottom>
      <diagonal/>
    </border>
    <border>
      <left/>
      <right/>
      <top/>
      <bottom style="medium">
        <color rgb="FFFFC000"/>
      </bottom>
      <diagonal/>
    </border>
    <border>
      <left/>
      <right/>
      <top style="medium">
        <color theme="3" tint="0.39994506668294322"/>
      </top>
      <bottom/>
      <diagonal/>
    </border>
  </borders>
  <cellStyleXfs count="3">
    <xf numFmtId="0" fontId="0" fillId="0" borderId="0"/>
    <xf numFmtId="43" fontId="5" fillId="0" borderId="0" applyFont="0" applyFill="0" applyBorder="0" applyAlignment="0" applyProtection="0"/>
    <xf numFmtId="9" fontId="5" fillId="0" borderId="0" applyFont="0" applyFill="0" applyBorder="0" applyAlignment="0" applyProtection="0"/>
  </cellStyleXfs>
  <cellXfs count="110">
    <xf numFmtId="0" fontId="0" fillId="0" borderId="0" xfId="0"/>
    <xf numFmtId="164" fontId="5" fillId="0" borderId="0" xfId="1" applyNumberFormat="1" applyFont="1"/>
    <xf numFmtId="164" fontId="0" fillId="0" borderId="0" xfId="0" applyNumberFormat="1"/>
    <xf numFmtId="0" fontId="8" fillId="0" borderId="0" xfId="0" applyFont="1"/>
    <xf numFmtId="9" fontId="8" fillId="0" borderId="0" xfId="0" applyNumberFormat="1" applyFont="1"/>
    <xf numFmtId="0" fontId="9" fillId="0" borderId="0" xfId="0" applyFont="1"/>
    <xf numFmtId="0" fontId="10" fillId="0" borderId="0" xfId="0" applyFont="1"/>
    <xf numFmtId="0" fontId="0" fillId="0" borderId="0" xfId="0" applyAlignment="1">
      <alignment horizontal="left" indent="1"/>
    </xf>
    <xf numFmtId="0" fontId="7" fillId="0" borderId="0" xfId="0" applyFont="1"/>
    <xf numFmtId="0" fontId="11" fillId="0" borderId="0" xfId="0" applyFont="1"/>
    <xf numFmtId="0" fontId="0" fillId="0" borderId="0" xfId="0" applyAlignment="1">
      <alignment horizontal="left"/>
    </xf>
    <xf numFmtId="0" fontId="0" fillId="0" borderId="1" xfId="0" applyBorder="1"/>
    <xf numFmtId="9" fontId="8" fillId="0" borderId="1" xfId="0" applyNumberFormat="1" applyFont="1" applyBorder="1"/>
    <xf numFmtId="0" fontId="8" fillId="0" borderId="1" xfId="0" applyFont="1" applyBorder="1"/>
    <xf numFmtId="0" fontId="0" fillId="0" borderId="1" xfId="0" applyBorder="1" applyAlignment="1">
      <alignment horizontal="left" indent="1"/>
    </xf>
    <xf numFmtId="0" fontId="12" fillId="0" borderId="0" xfId="0" applyFont="1"/>
    <xf numFmtId="164" fontId="12" fillId="0" borderId="0" xfId="0" applyNumberFormat="1" applyFont="1"/>
    <xf numFmtId="164" fontId="5" fillId="0" borderId="1" xfId="1" applyNumberFormat="1" applyFont="1" applyBorder="1"/>
    <xf numFmtId="164" fontId="0" fillId="0" borderId="1" xfId="0" applyNumberFormat="1" applyBorder="1"/>
    <xf numFmtId="9" fontId="8" fillId="0" borderId="0" xfId="2" applyFont="1"/>
    <xf numFmtId="0" fontId="13" fillId="0" borderId="0" xfId="0" applyFont="1" applyAlignment="1">
      <alignment horizontal="center"/>
    </xf>
    <xf numFmtId="0" fontId="0" fillId="0" borderId="2" xfId="0" applyBorder="1"/>
    <xf numFmtId="164" fontId="8" fillId="0" borderId="2" xfId="1" applyNumberFormat="1" applyFont="1" applyBorder="1"/>
    <xf numFmtId="0" fontId="0" fillId="0" borderId="1" xfId="0" applyBorder="1" applyAlignment="1">
      <alignment horizontal="left" wrapText="1" indent="1"/>
    </xf>
    <xf numFmtId="0" fontId="0" fillId="0" borderId="3" xfId="0" applyBorder="1"/>
    <xf numFmtId="0" fontId="8" fillId="0" borderId="3" xfId="0" applyFont="1" applyBorder="1"/>
    <xf numFmtId="164" fontId="5" fillId="0" borderId="3" xfId="1" applyNumberFormat="1" applyFont="1" applyBorder="1"/>
    <xf numFmtId="0" fontId="0" fillId="0" borderId="4" xfId="0" applyBorder="1"/>
    <xf numFmtId="0" fontId="8" fillId="0" borderId="4" xfId="0" applyFont="1" applyBorder="1"/>
    <xf numFmtId="164" fontId="5" fillId="0" borderId="4" xfId="1" applyNumberFormat="1" applyFont="1" applyBorder="1"/>
    <xf numFmtId="0" fontId="14" fillId="0" borderId="0" xfId="0" applyFont="1"/>
    <xf numFmtId="0" fontId="8" fillId="0" borderId="1" xfId="0" applyFont="1" applyBorder="1" applyAlignment="1">
      <alignment horizontal="center"/>
    </xf>
    <xf numFmtId="165" fontId="8" fillId="0" borderId="5" xfId="2" applyNumberFormat="1" applyFont="1" applyBorder="1" applyAlignment="1">
      <alignment horizontal="center"/>
    </xf>
    <xf numFmtId="0" fontId="0" fillId="0" borderId="6" xfId="0" applyBorder="1"/>
    <xf numFmtId="0" fontId="8" fillId="0" borderId="6" xfId="0" applyFont="1" applyBorder="1"/>
    <xf numFmtId="0" fontId="14" fillId="2" borderId="13" xfId="0" applyFont="1" applyFill="1" applyBorder="1"/>
    <xf numFmtId="0" fontId="0" fillId="0" borderId="13" xfId="0" applyBorder="1"/>
    <xf numFmtId="0" fontId="0" fillId="0" borderId="13" xfId="0" applyFill="1" applyBorder="1"/>
    <xf numFmtId="0" fontId="13" fillId="2" borderId="13" xfId="0" applyFont="1" applyFill="1" applyBorder="1"/>
    <xf numFmtId="0" fontId="14" fillId="2" borderId="0" xfId="0" applyFont="1" applyFill="1" applyBorder="1"/>
    <xf numFmtId="0" fontId="6" fillId="3" borderId="7" xfId="0" applyFont="1" applyFill="1" applyBorder="1" applyAlignment="1">
      <alignment horizontal="center"/>
    </xf>
    <xf numFmtId="0" fontId="15" fillId="0" borderId="0" xfId="0" applyFont="1"/>
    <xf numFmtId="0" fontId="0" fillId="0" borderId="0" xfId="0" applyAlignment="1">
      <alignment horizontal="center"/>
    </xf>
    <xf numFmtId="0" fontId="0" fillId="2" borderId="0" xfId="0" applyFill="1" applyAlignment="1">
      <alignment horizontal="center"/>
    </xf>
    <xf numFmtId="0" fontId="16" fillId="4" borderId="0" xfId="0" applyFont="1" applyFill="1"/>
    <xf numFmtId="0" fontId="17" fillId="4" borderId="0" xfId="0" applyFont="1" applyFill="1"/>
    <xf numFmtId="0" fontId="17" fillId="4" borderId="0" xfId="0" applyFont="1" applyFill="1" applyAlignment="1">
      <alignment horizontal="center"/>
    </xf>
    <xf numFmtId="0" fontId="13" fillId="5" borderId="0" xfId="0" applyFont="1" applyFill="1" applyAlignment="1">
      <alignment horizontal="center"/>
    </xf>
    <xf numFmtId="0" fontId="0" fillId="5" borderId="0" xfId="0" applyFill="1"/>
    <xf numFmtId="0" fontId="0" fillId="5" borderId="13" xfId="0" applyFill="1" applyBorder="1"/>
    <xf numFmtId="164" fontId="5" fillId="5" borderId="0" xfId="1" applyNumberFormat="1" applyFont="1" applyFill="1"/>
    <xf numFmtId="0" fontId="9" fillId="5" borderId="0" xfId="0" applyFont="1" applyFill="1"/>
    <xf numFmtId="0" fontId="0" fillId="5" borderId="8" xfId="0" applyFill="1" applyBorder="1"/>
    <xf numFmtId="0" fontId="0" fillId="5" borderId="9" xfId="0" applyFill="1" applyBorder="1"/>
    <xf numFmtId="0" fontId="0" fillId="0" borderId="0" xfId="0" applyFill="1"/>
    <xf numFmtId="164" fontId="5" fillId="0" borderId="1" xfId="1" applyNumberFormat="1" applyFont="1" applyFill="1" applyBorder="1"/>
    <xf numFmtId="164" fontId="5" fillId="0" borderId="0" xfId="1" applyNumberFormat="1" applyFont="1" applyFill="1"/>
    <xf numFmtId="164" fontId="12" fillId="0" borderId="0" xfId="0" applyNumberFormat="1" applyFont="1" applyFill="1"/>
    <xf numFmtId="0" fontId="0" fillId="6" borderId="0" xfId="0" applyFill="1"/>
    <xf numFmtId="0" fontId="0" fillId="0" borderId="11" xfId="0" applyBorder="1"/>
    <xf numFmtId="0" fontId="8" fillId="0" borderId="11" xfId="0" applyFont="1" applyBorder="1"/>
    <xf numFmtId="164" fontId="0" fillId="5" borderId="11" xfId="0" applyNumberFormat="1" applyFill="1" applyBorder="1"/>
    <xf numFmtId="9" fontId="10" fillId="0" borderId="0" xfId="0" applyNumberFormat="1" applyFont="1" applyFill="1"/>
    <xf numFmtId="0" fontId="0" fillId="0" borderId="0" xfId="0" applyBorder="1"/>
    <xf numFmtId="0" fontId="11" fillId="6" borderId="0" xfId="0" applyFont="1" applyFill="1"/>
    <xf numFmtId="0" fontId="0" fillId="6" borderId="0" xfId="0" quotePrefix="1" applyFill="1"/>
    <xf numFmtId="0" fontId="7" fillId="6" borderId="0" xfId="0" applyFont="1" applyFill="1" applyAlignment="1">
      <alignment horizontal="center"/>
    </xf>
    <xf numFmtId="0" fontId="8" fillId="0" borderId="0" xfId="0" applyFont="1" applyBorder="1"/>
    <xf numFmtId="164" fontId="0" fillId="0" borderId="0" xfId="0" applyNumberFormat="1" applyBorder="1"/>
    <xf numFmtId="9" fontId="8" fillId="0" borderId="0" xfId="0" applyNumberFormat="1" applyFont="1" applyBorder="1"/>
    <xf numFmtId="164" fontId="5" fillId="0" borderId="0" xfId="1" applyNumberFormat="1" applyFont="1" applyBorder="1"/>
    <xf numFmtId="164" fontId="0" fillId="0" borderId="11" xfId="0" applyNumberFormat="1" applyBorder="1"/>
    <xf numFmtId="0" fontId="0" fillId="0" borderId="0" xfId="0" applyBorder="1" applyAlignment="1">
      <alignment horizontal="left" indent="2"/>
    </xf>
    <xf numFmtId="164" fontId="0" fillId="7" borderId="0" xfId="0" applyNumberFormat="1" applyFill="1"/>
    <xf numFmtId="164" fontId="5" fillId="7" borderId="1" xfId="1" applyNumberFormat="1" applyFont="1" applyFill="1" applyBorder="1"/>
    <xf numFmtId="164" fontId="5" fillId="7" borderId="0" xfId="1" applyNumberFormat="1" applyFont="1" applyFill="1"/>
    <xf numFmtId="164" fontId="0" fillId="7" borderId="0" xfId="0" applyNumberFormat="1" applyFill="1" applyBorder="1"/>
    <xf numFmtId="164" fontId="5" fillId="7" borderId="0" xfId="1" applyNumberFormat="1" applyFont="1" applyFill="1" applyBorder="1"/>
    <xf numFmtId="164" fontId="0" fillId="7" borderId="11" xfId="0" applyNumberFormat="1" applyFill="1" applyBorder="1"/>
    <xf numFmtId="164" fontId="5" fillId="7" borderId="3" xfId="1" applyNumberFormat="1" applyFont="1" applyFill="1" applyBorder="1"/>
    <xf numFmtId="164" fontId="5" fillId="7" borderId="4" xfId="1" applyNumberFormat="1" applyFont="1" applyFill="1" applyBorder="1"/>
    <xf numFmtId="164" fontId="0" fillId="7" borderId="1" xfId="0" applyNumberFormat="1" applyFill="1" applyBorder="1"/>
    <xf numFmtId="9" fontId="0" fillId="7" borderId="0" xfId="0" applyNumberFormat="1" applyFill="1"/>
    <xf numFmtId="164" fontId="14" fillId="7" borderId="12" xfId="1" applyNumberFormat="1" applyFont="1" applyFill="1" applyBorder="1"/>
    <xf numFmtId="10" fontId="14" fillId="7" borderId="12" xfId="0" applyNumberFormat="1" applyFont="1" applyFill="1" applyBorder="1"/>
    <xf numFmtId="10" fontId="14" fillId="7" borderId="10" xfId="0" applyNumberFormat="1" applyFont="1" applyFill="1" applyBorder="1" applyAlignment="1">
      <alignment horizontal="center"/>
    </xf>
    <xf numFmtId="10" fontId="5" fillId="7" borderId="0" xfId="2" applyNumberFormat="1" applyFont="1" applyFill="1" applyAlignment="1">
      <alignment horizontal="center"/>
    </xf>
    <xf numFmtId="164" fontId="0" fillId="7" borderId="2" xfId="0" applyNumberFormat="1" applyFill="1" applyBorder="1"/>
    <xf numFmtId="0" fontId="11" fillId="0" borderId="0" xfId="0" applyFont="1" applyAlignment="1">
      <alignment horizontal="left"/>
    </xf>
    <xf numFmtId="164" fontId="5" fillId="0" borderId="11" xfId="1" applyNumberFormat="1" applyFont="1" applyBorder="1"/>
    <xf numFmtId="164" fontId="5" fillId="7" borderId="11" xfId="1" applyNumberFormat="1" applyFont="1" applyFill="1" applyBorder="1"/>
    <xf numFmtId="9" fontId="8" fillId="5" borderId="5" xfId="0" applyNumberFormat="1" applyFont="1" applyFill="1" applyBorder="1"/>
    <xf numFmtId="0" fontId="7" fillId="0" borderId="1" xfId="0" applyFont="1" applyBorder="1"/>
    <xf numFmtId="0" fontId="7" fillId="0" borderId="11" xfId="0" applyFont="1" applyBorder="1"/>
    <xf numFmtId="43" fontId="5" fillId="7" borderId="0" xfId="1" applyNumberFormat="1" applyFont="1" applyFill="1"/>
    <xf numFmtId="0" fontId="11" fillId="7" borderId="0" xfId="0" applyFont="1" applyFill="1"/>
    <xf numFmtId="167" fontId="15" fillId="0" borderId="0" xfId="1" applyNumberFormat="1" applyFont="1"/>
    <xf numFmtId="166" fontId="0" fillId="0" borderId="0" xfId="1" applyNumberFormat="1" applyFont="1"/>
    <xf numFmtId="164" fontId="5" fillId="8" borderId="0" xfId="1" applyNumberFormat="1" applyFont="1" applyFill="1"/>
    <xf numFmtId="0" fontId="19" fillId="0" borderId="0" xfId="0" applyFont="1" applyAlignment="1">
      <alignment horizontal="right" indent="1"/>
    </xf>
    <xf numFmtId="0" fontId="15" fillId="0" borderId="0" xfId="0" applyFont="1" applyAlignment="1">
      <alignment horizontal="right" indent="1"/>
    </xf>
    <xf numFmtId="168" fontId="5" fillId="7" borderId="0" xfId="1" applyNumberFormat="1" applyFont="1" applyFill="1"/>
    <xf numFmtId="0" fontId="20" fillId="0" borderId="0" xfId="0" applyFont="1"/>
    <xf numFmtId="164" fontId="0" fillId="0" borderId="0" xfId="0" applyNumberFormat="1" applyFill="1"/>
    <xf numFmtId="0" fontId="13" fillId="5" borderId="0" xfId="0" applyFont="1" applyFill="1" applyAlignment="1">
      <alignment horizontal="center"/>
    </xf>
    <xf numFmtId="9" fontId="8" fillId="5" borderId="10" xfId="0" applyNumberFormat="1" applyFont="1" applyFill="1" applyBorder="1"/>
    <xf numFmtId="0" fontId="0" fillId="0" borderId="0" xfId="0" applyAlignment="1">
      <alignment horizontal="left" wrapText="1"/>
    </xf>
    <xf numFmtId="0" fontId="13" fillId="2" borderId="0" xfId="0" applyFont="1" applyFill="1" applyAlignment="1">
      <alignment horizontal="center"/>
    </xf>
    <xf numFmtId="0" fontId="13" fillId="5" borderId="0" xfId="0" applyFont="1" applyFill="1" applyAlignment="1">
      <alignment horizontal="center"/>
    </xf>
    <xf numFmtId="0" fontId="14" fillId="2" borderId="14" xfId="0" applyFont="1" applyFill="1" applyBorder="1" applyAlignment="1">
      <alignment horizontal="center"/>
    </xf>
  </cellXfs>
  <cellStyles count="3">
    <cellStyle name="Comma" xfId="1" builtinId="3"/>
    <cellStyle name="Normal" xfId="0" builtinId="0"/>
    <cellStyle name="Percent" xfId="2" builtinId="5"/>
  </cellStyles>
  <dxfs count="1">
    <dxf>
      <font>
        <condense val="0"/>
        <extend val="0"/>
        <color rgb="FF9C0006"/>
      </font>
      <fill>
        <patternFill>
          <bgColor rgb="FFFFC7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57150</xdr:colOff>
      <xdr:row>21</xdr:row>
      <xdr:rowOff>19049</xdr:rowOff>
    </xdr:from>
    <xdr:to>
      <xdr:col>2</xdr:col>
      <xdr:colOff>657225</xdr:colOff>
      <xdr:row>23</xdr:row>
      <xdr:rowOff>161924</xdr:rowOff>
    </xdr:to>
    <xdr:sp macro="[0]!SOFTCOST" textlink="">
      <xdr:nvSpPr>
        <xdr:cNvPr id="2" name="Rounded Rectangle 1"/>
        <xdr:cNvSpPr/>
      </xdr:nvSpPr>
      <xdr:spPr>
        <a:xfrm>
          <a:off x="3362325" y="3286124"/>
          <a:ext cx="600075" cy="523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SoftCost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109436</xdr:colOff>
      <xdr:row>4</xdr:row>
      <xdr:rowOff>8106</xdr:rowOff>
    </xdr:from>
    <xdr:to>
      <xdr:col>1</xdr:col>
      <xdr:colOff>109436</xdr:colOff>
      <xdr:row>5</xdr:row>
      <xdr:rowOff>36479</xdr:rowOff>
    </xdr:to>
    <xdr:cxnSp macro="">
      <xdr:nvCxnSpPr>
        <xdr:cNvPr id="3" name="Straight Arrow Connector 2"/>
        <xdr:cNvCxnSpPr/>
      </xdr:nvCxnSpPr>
      <xdr:spPr>
        <a:xfrm>
          <a:off x="717415" y="770106"/>
          <a:ext cx="0" cy="21887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324255</xdr:colOff>
      <xdr:row>5</xdr:row>
      <xdr:rowOff>97277</xdr:rowOff>
    </xdr:from>
    <xdr:to>
      <xdr:col>2</xdr:col>
      <xdr:colOff>571500</xdr:colOff>
      <xdr:row>5</xdr:row>
      <xdr:rowOff>105383</xdr:rowOff>
    </xdr:to>
    <xdr:cxnSp macro="">
      <xdr:nvCxnSpPr>
        <xdr:cNvPr id="5" name="Straight Arrow Connector 4"/>
        <xdr:cNvCxnSpPr/>
      </xdr:nvCxnSpPr>
      <xdr:spPr>
        <a:xfrm>
          <a:off x="932234" y="1049777"/>
          <a:ext cx="855223" cy="810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344521</xdr:colOff>
      <xdr:row>2</xdr:row>
      <xdr:rowOff>174287</xdr:rowOff>
    </xdr:from>
    <xdr:to>
      <xdr:col>3</xdr:col>
      <xdr:colOff>72958</xdr:colOff>
      <xdr:row>5</xdr:row>
      <xdr:rowOff>56745</xdr:rowOff>
    </xdr:to>
    <xdr:cxnSp macro="">
      <xdr:nvCxnSpPr>
        <xdr:cNvPr id="7" name="Straight Arrow Connector 6"/>
        <xdr:cNvCxnSpPr/>
      </xdr:nvCxnSpPr>
      <xdr:spPr>
        <a:xfrm flipH="1" flipV="1">
          <a:off x="952500" y="555287"/>
          <a:ext cx="944394" cy="45395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M49"/>
  <sheetViews>
    <sheetView showGridLines="0" workbookViewId="0">
      <selection activeCell="C13" sqref="C13"/>
    </sheetView>
  </sheetViews>
  <sheetFormatPr defaultColWidth="8.85546875" defaultRowHeight="15"/>
  <cols>
    <col min="1" max="1" width="5.140625" customWidth="1"/>
  </cols>
  <sheetData>
    <row r="1" spans="1:11" s="45" customFormat="1" ht="29.25" customHeight="1">
      <c r="A1" s="44" t="s">
        <v>53</v>
      </c>
      <c r="D1" s="46"/>
    </row>
    <row r="3" spans="1:11">
      <c r="A3" s="9" t="s">
        <v>75</v>
      </c>
    </row>
    <row r="5" spans="1:11">
      <c r="A5" s="43">
        <v>1</v>
      </c>
      <c r="B5" t="s">
        <v>54</v>
      </c>
      <c r="J5" s="58"/>
      <c r="K5" s="41" t="s">
        <v>55</v>
      </c>
    </row>
    <row r="6" spans="1:11">
      <c r="A6" s="42"/>
    </row>
    <row r="7" spans="1:11" ht="15" customHeight="1">
      <c r="A7" s="43">
        <v>2</v>
      </c>
      <c r="B7" s="106" t="s">
        <v>69</v>
      </c>
      <c r="C7" s="106"/>
      <c r="D7" s="106"/>
      <c r="E7" s="106"/>
      <c r="F7" s="106"/>
      <c r="G7" s="106"/>
      <c r="H7" s="106"/>
      <c r="I7" s="106"/>
      <c r="J7" s="106"/>
    </row>
    <row r="8" spans="1:11">
      <c r="A8" s="42"/>
      <c r="B8" s="106"/>
      <c r="C8" s="106"/>
      <c r="D8" s="106"/>
      <c r="E8" s="106"/>
      <c r="F8" s="106"/>
      <c r="G8" s="106"/>
      <c r="H8" s="106"/>
      <c r="I8" s="106"/>
      <c r="J8" s="106"/>
    </row>
    <row r="9" spans="1:11">
      <c r="A9" s="42"/>
      <c r="B9" s="106"/>
      <c r="C9" s="106"/>
      <c r="D9" s="106"/>
      <c r="E9" s="106"/>
      <c r="F9" s="106"/>
      <c r="G9" s="106"/>
      <c r="H9" s="106"/>
      <c r="I9" s="106"/>
      <c r="J9" s="106"/>
    </row>
    <row r="10" spans="1:11">
      <c r="A10" s="42"/>
    </row>
    <row r="11" spans="1:11">
      <c r="A11" s="43">
        <v>3</v>
      </c>
      <c r="B11" s="106" t="s">
        <v>70</v>
      </c>
      <c r="C11" s="106"/>
      <c r="D11" s="106"/>
      <c r="E11" s="106"/>
      <c r="F11" s="106"/>
      <c r="G11" s="106"/>
      <c r="H11" s="106"/>
      <c r="I11" s="106"/>
      <c r="J11" s="106"/>
    </row>
    <row r="12" spans="1:11">
      <c r="A12" s="42"/>
      <c r="B12" s="106"/>
      <c r="C12" s="106"/>
      <c r="D12" s="106"/>
      <c r="E12" s="106"/>
      <c r="F12" s="106"/>
      <c r="G12" s="106"/>
      <c r="H12" s="106"/>
      <c r="I12" s="106"/>
      <c r="J12" s="106"/>
    </row>
    <row r="13" spans="1:11">
      <c r="A13" s="42"/>
    </row>
    <row r="14" spans="1:11">
      <c r="A14" s="43">
        <v>4</v>
      </c>
      <c r="B14" t="s">
        <v>60</v>
      </c>
    </row>
    <row r="15" spans="1:11" ht="15" customHeight="1">
      <c r="A15" s="42"/>
    </row>
    <row r="16" spans="1:11">
      <c r="A16" s="43">
        <v>5</v>
      </c>
      <c r="B16" s="106" t="s">
        <v>62</v>
      </c>
      <c r="C16" s="106"/>
      <c r="D16" s="106"/>
      <c r="E16" s="106"/>
      <c r="F16" s="106"/>
      <c r="G16" s="106"/>
      <c r="H16" s="106"/>
      <c r="I16" s="106"/>
      <c r="J16" s="106"/>
    </row>
    <row r="17" spans="1:11">
      <c r="A17" s="42"/>
      <c r="B17" s="106"/>
      <c r="C17" s="106"/>
      <c r="D17" s="106"/>
      <c r="E17" s="106"/>
      <c r="F17" s="106"/>
      <c r="G17" s="106"/>
      <c r="H17" s="106"/>
      <c r="I17" s="106"/>
      <c r="J17" s="106"/>
    </row>
    <row r="18" spans="1:11">
      <c r="A18" s="42"/>
    </row>
    <row r="19" spans="1:11">
      <c r="A19" s="43">
        <v>6</v>
      </c>
      <c r="B19" t="s">
        <v>61</v>
      </c>
    </row>
    <row r="20" spans="1:11">
      <c r="A20" s="42"/>
    </row>
    <row r="21" spans="1:11">
      <c r="A21" s="43">
        <v>7</v>
      </c>
      <c r="B21" t="s">
        <v>63</v>
      </c>
    </row>
    <row r="22" spans="1:11">
      <c r="A22" s="42"/>
    </row>
    <row r="23" spans="1:11">
      <c r="A23" s="43">
        <v>8</v>
      </c>
      <c r="B23" t="s">
        <v>64</v>
      </c>
    </row>
    <row r="24" spans="1:11">
      <c r="A24" s="42"/>
    </row>
    <row r="25" spans="1:11">
      <c r="A25" s="43">
        <v>9</v>
      </c>
      <c r="B25" t="s">
        <v>65</v>
      </c>
    </row>
    <row r="26" spans="1:11">
      <c r="A26" s="42"/>
    </row>
    <row r="27" spans="1:11">
      <c r="A27" s="43">
        <v>10</v>
      </c>
      <c r="B27" t="s">
        <v>66</v>
      </c>
    </row>
    <row r="28" spans="1:11">
      <c r="A28" s="42"/>
    </row>
    <row r="29" spans="1:11">
      <c r="A29" s="43">
        <v>11</v>
      </c>
      <c r="B29" t="s">
        <v>67</v>
      </c>
    </row>
    <row r="30" spans="1:11">
      <c r="A30" s="42"/>
    </row>
    <row r="31" spans="1:11">
      <c r="A31" s="43">
        <v>12</v>
      </c>
      <c r="B31" t="s">
        <v>68</v>
      </c>
    </row>
    <row r="32" spans="1:11">
      <c r="A32" s="63"/>
      <c r="B32" s="63"/>
      <c r="C32" s="63"/>
      <c r="D32" s="63"/>
      <c r="E32" s="63"/>
      <c r="F32" s="63"/>
      <c r="G32" s="63"/>
      <c r="H32" s="63"/>
      <c r="I32" s="63"/>
      <c r="J32" s="63"/>
      <c r="K32" s="63"/>
    </row>
    <row r="34" spans="1:13">
      <c r="A34" s="64" t="s">
        <v>76</v>
      </c>
      <c r="B34" s="58"/>
      <c r="C34" s="58"/>
      <c r="D34" s="58"/>
      <c r="E34" s="58"/>
      <c r="F34" s="58"/>
      <c r="G34" s="58"/>
      <c r="H34" s="58"/>
      <c r="I34" s="58"/>
      <c r="J34" s="58"/>
      <c r="K34" s="58"/>
      <c r="L34" s="58"/>
      <c r="M34" s="58"/>
    </row>
    <row r="35" spans="1:13">
      <c r="A35" s="58"/>
      <c r="B35" s="58"/>
      <c r="C35" s="58"/>
      <c r="D35" s="58"/>
      <c r="E35" s="58"/>
      <c r="F35" s="58"/>
      <c r="G35" s="58"/>
      <c r="H35" s="58"/>
      <c r="I35" s="58"/>
      <c r="J35" s="58"/>
      <c r="K35" s="58"/>
      <c r="L35" s="58"/>
      <c r="M35" s="58"/>
    </row>
    <row r="36" spans="1:13">
      <c r="A36" s="66" t="s">
        <v>71</v>
      </c>
      <c r="B36" s="58" t="s">
        <v>73</v>
      </c>
      <c r="C36" s="58"/>
      <c r="D36" s="58"/>
      <c r="E36" s="58"/>
      <c r="F36" s="58"/>
      <c r="G36" s="58"/>
      <c r="H36" s="58"/>
      <c r="I36" s="58"/>
      <c r="J36" s="58"/>
      <c r="K36" s="58"/>
      <c r="L36" s="58"/>
      <c r="M36" s="58"/>
    </row>
    <row r="37" spans="1:13">
      <c r="A37" s="66"/>
      <c r="B37" s="65" t="s">
        <v>72</v>
      </c>
      <c r="C37" s="58"/>
      <c r="D37" s="58"/>
      <c r="E37" s="58"/>
      <c r="F37" s="58"/>
      <c r="G37" s="58"/>
      <c r="H37" s="58"/>
      <c r="I37" s="58"/>
      <c r="J37" s="58"/>
      <c r="K37" s="58"/>
      <c r="L37" s="58"/>
      <c r="M37" s="58"/>
    </row>
    <row r="38" spans="1:13">
      <c r="A38" s="66"/>
      <c r="B38" s="58"/>
      <c r="C38" s="58"/>
      <c r="D38" s="58"/>
      <c r="E38" s="58"/>
      <c r="F38" s="58"/>
      <c r="G38" s="58"/>
      <c r="H38" s="58"/>
      <c r="I38" s="58"/>
      <c r="J38" s="58"/>
      <c r="K38" s="58"/>
      <c r="L38" s="58"/>
      <c r="M38" s="58"/>
    </row>
    <row r="39" spans="1:13">
      <c r="A39" s="66"/>
      <c r="B39" s="58"/>
      <c r="C39" s="58"/>
      <c r="D39" s="58"/>
      <c r="E39" s="58"/>
      <c r="F39" s="58"/>
      <c r="G39" s="58"/>
      <c r="H39" s="58"/>
      <c r="I39" s="58"/>
      <c r="J39" s="58"/>
      <c r="K39" s="58"/>
      <c r="L39" s="58"/>
      <c r="M39" s="58"/>
    </row>
    <row r="40" spans="1:13">
      <c r="A40" s="66"/>
      <c r="B40" s="58"/>
      <c r="C40" s="58"/>
      <c r="D40" s="58"/>
      <c r="E40" s="58"/>
      <c r="F40" s="58"/>
      <c r="G40" s="58"/>
      <c r="H40" s="58"/>
      <c r="I40" s="58"/>
      <c r="J40" s="58"/>
      <c r="K40" s="58"/>
      <c r="L40" s="58"/>
      <c r="M40" s="58"/>
    </row>
    <row r="41" spans="1:13">
      <c r="A41" s="66" t="s">
        <v>71</v>
      </c>
      <c r="B41" s="58" t="s">
        <v>74</v>
      </c>
      <c r="C41" s="58"/>
      <c r="D41" s="58"/>
      <c r="E41" s="58"/>
      <c r="F41" s="58"/>
      <c r="G41" s="58"/>
      <c r="H41" s="58"/>
      <c r="I41" s="58"/>
      <c r="J41" s="58"/>
      <c r="K41" s="58"/>
      <c r="L41" s="58"/>
      <c r="M41" s="58"/>
    </row>
    <row r="42" spans="1:13">
      <c r="A42" s="58"/>
      <c r="B42" s="58"/>
      <c r="C42" s="58"/>
      <c r="D42" s="58"/>
      <c r="E42" s="58"/>
      <c r="F42" s="58"/>
      <c r="G42" s="58"/>
      <c r="H42" s="58"/>
      <c r="I42" s="58"/>
      <c r="J42" s="58"/>
      <c r="K42" s="58"/>
      <c r="L42" s="58"/>
      <c r="M42" s="58"/>
    </row>
    <row r="43" spans="1:13">
      <c r="A43" s="58"/>
      <c r="B43" s="58"/>
      <c r="C43" s="58"/>
      <c r="D43" s="58"/>
      <c r="E43" s="58"/>
      <c r="F43" s="58"/>
      <c r="G43" s="58"/>
      <c r="H43" s="58"/>
      <c r="I43" s="58"/>
      <c r="J43" s="58"/>
      <c r="K43" s="58"/>
      <c r="L43" s="58"/>
      <c r="M43" s="58"/>
    </row>
    <row r="44" spans="1:13">
      <c r="A44" s="58"/>
      <c r="B44" s="58"/>
      <c r="C44" s="58"/>
      <c r="D44" s="58"/>
      <c r="E44" s="58"/>
      <c r="F44" s="58"/>
      <c r="G44" s="58"/>
      <c r="H44" s="58"/>
      <c r="I44" s="58"/>
      <c r="J44" s="58"/>
      <c r="K44" s="58"/>
      <c r="L44" s="58"/>
      <c r="M44" s="58"/>
    </row>
    <row r="45" spans="1:13">
      <c r="A45" s="58"/>
      <c r="B45" s="58"/>
      <c r="C45" s="58"/>
      <c r="D45" s="58"/>
      <c r="E45" s="58"/>
      <c r="F45" s="58"/>
      <c r="G45" s="58"/>
      <c r="H45" s="58"/>
      <c r="I45" s="58"/>
      <c r="J45" s="58"/>
      <c r="K45" s="58"/>
      <c r="L45" s="58"/>
      <c r="M45" s="58"/>
    </row>
    <row r="46" spans="1:13">
      <c r="A46" s="58"/>
      <c r="B46" s="58"/>
      <c r="C46" s="58"/>
      <c r="D46" s="58"/>
      <c r="E46" s="58"/>
      <c r="F46" s="58"/>
      <c r="G46" s="58"/>
      <c r="H46" s="58"/>
      <c r="I46" s="58"/>
      <c r="J46" s="58"/>
      <c r="K46" s="58"/>
      <c r="L46" s="58"/>
      <c r="M46" s="58"/>
    </row>
    <row r="47" spans="1:13">
      <c r="A47" s="58"/>
      <c r="B47" s="58"/>
      <c r="C47" s="58"/>
      <c r="D47" s="58"/>
      <c r="E47" s="58"/>
      <c r="F47" s="58"/>
      <c r="G47" s="58"/>
      <c r="H47" s="58"/>
      <c r="I47" s="58"/>
      <c r="J47" s="58"/>
      <c r="K47" s="58"/>
      <c r="L47" s="58"/>
      <c r="M47" s="58"/>
    </row>
    <row r="48" spans="1:13">
      <c r="A48" s="58"/>
      <c r="B48" s="58"/>
      <c r="C48" s="58"/>
      <c r="D48" s="58"/>
      <c r="E48" s="58"/>
      <c r="F48" s="58"/>
      <c r="G48" s="58"/>
      <c r="H48" s="58"/>
      <c r="I48" s="58"/>
      <c r="J48" s="58"/>
      <c r="K48" s="58"/>
      <c r="L48" s="58"/>
      <c r="M48" s="58"/>
    </row>
    <row r="49" spans="1:13">
      <c r="A49" s="58"/>
      <c r="B49" s="58"/>
      <c r="C49" s="58"/>
      <c r="D49" s="58"/>
      <c r="E49" s="58"/>
      <c r="F49" s="58"/>
      <c r="G49" s="58"/>
      <c r="H49" s="58"/>
      <c r="I49" s="58"/>
      <c r="J49" s="58"/>
      <c r="K49" s="58"/>
      <c r="L49" s="58"/>
      <c r="M49" s="58"/>
    </row>
  </sheetData>
  <mergeCells count="3">
    <mergeCell ref="B7:J9"/>
    <mergeCell ref="B11:J12"/>
    <mergeCell ref="B16:J17"/>
  </mergeCells>
  <pageMargins left="0.7" right="0.7" top="0.75" bottom="0.75" header="0.3" footer="0.3"/>
  <pageSetup orientation="portrait" horizontalDpi="90" verticalDpi="90" r:id="rId1"/>
  <legacyDrawing r:id="rId2"/>
</worksheet>
</file>

<file path=xl/worksheets/sheet2.xml><?xml version="1.0" encoding="utf-8"?>
<worksheet xmlns="http://schemas.openxmlformats.org/spreadsheetml/2006/main" xmlns:r="http://schemas.openxmlformats.org/officeDocument/2006/relationships">
  <sheetPr codeName="Sheet2" enableFormatConditionsCalculation="0"/>
  <dimension ref="A1:L109"/>
  <sheetViews>
    <sheetView showGridLines="0" tabSelected="1" zoomScalePageLayoutView="110" workbookViewId="0">
      <pane ySplit="5" topLeftCell="A6" activePane="bottomLeft" state="frozen"/>
      <selection pane="bottomLeft" activeCell="A5" sqref="A5"/>
    </sheetView>
  </sheetViews>
  <sheetFormatPr defaultColWidth="8.85546875" defaultRowHeight="15" outlineLevelRow="1"/>
  <cols>
    <col min="1" max="1" width="39.7109375" bestFit="1" customWidth="1"/>
    <col min="2" max="2" width="9.85546875" style="3" customWidth="1"/>
    <col min="3" max="3" width="11.28515625" bestFit="1" customWidth="1"/>
    <col min="4" max="5" width="13.7109375" bestFit="1" customWidth="1"/>
    <col min="6" max="7" width="14.140625" bestFit="1" customWidth="1"/>
    <col min="8" max="12" width="13.28515625" bestFit="1" customWidth="1"/>
  </cols>
  <sheetData>
    <row r="1" spans="1:12" s="45" customFormat="1" ht="29.25" customHeight="1" outlineLevel="1">
      <c r="A1" s="44" t="s">
        <v>53</v>
      </c>
      <c r="D1" s="46"/>
    </row>
    <row r="2" spans="1:12" outlineLevel="1">
      <c r="A2" t="s">
        <v>51</v>
      </c>
    </row>
    <row r="3" spans="1:12" outlineLevel="1">
      <c r="F3" t="s">
        <v>82</v>
      </c>
    </row>
    <row r="4" spans="1:12" outlineLevel="1">
      <c r="C4" s="108" t="s">
        <v>7</v>
      </c>
      <c r="D4" s="108"/>
      <c r="E4" s="108"/>
      <c r="F4" s="108"/>
      <c r="G4" s="108"/>
      <c r="H4" s="107" t="s">
        <v>43</v>
      </c>
      <c r="I4" s="107"/>
      <c r="J4" s="107"/>
      <c r="K4" s="107"/>
      <c r="L4" s="107"/>
    </row>
    <row r="5" spans="1:12">
      <c r="A5" t="s">
        <v>16</v>
      </c>
      <c r="C5" s="20">
        <v>0</v>
      </c>
      <c r="D5" s="20">
        <v>1</v>
      </c>
      <c r="E5" s="20">
        <v>2</v>
      </c>
      <c r="F5" s="20">
        <v>3</v>
      </c>
      <c r="G5" s="20">
        <v>4</v>
      </c>
      <c r="H5" s="47">
        <v>5</v>
      </c>
      <c r="I5" s="47">
        <v>6</v>
      </c>
      <c r="J5" s="47">
        <v>7</v>
      </c>
      <c r="K5" s="104">
        <v>8</v>
      </c>
      <c r="L5" s="104">
        <v>9</v>
      </c>
    </row>
    <row r="6" spans="1:12">
      <c r="H6" s="48"/>
      <c r="I6" s="48"/>
      <c r="J6" s="48"/>
      <c r="K6" s="48"/>
      <c r="L6" s="48"/>
    </row>
    <row r="7" spans="1:12" ht="15.75" thickBot="1">
      <c r="A7" s="38" t="s">
        <v>15</v>
      </c>
      <c r="B7" s="35"/>
      <c r="C7" s="36"/>
      <c r="D7" s="36"/>
      <c r="E7" s="36"/>
      <c r="F7" s="36"/>
      <c r="G7" s="36"/>
      <c r="H7" s="49"/>
      <c r="I7" s="49"/>
      <c r="J7" s="49"/>
      <c r="K7" s="49"/>
      <c r="L7" s="49"/>
    </row>
    <row r="8" spans="1:12">
      <c r="H8" s="48"/>
      <c r="I8" s="48"/>
      <c r="J8" s="48"/>
      <c r="K8" s="48"/>
      <c r="L8" s="48"/>
    </row>
    <row r="9" spans="1:12">
      <c r="D9" s="54"/>
      <c r="E9" s="54"/>
      <c r="F9" s="54"/>
      <c r="G9" s="54"/>
      <c r="H9" s="48"/>
      <c r="I9" s="48"/>
      <c r="J9" s="48"/>
      <c r="K9" s="48"/>
      <c r="L9" s="48"/>
    </row>
    <row r="10" spans="1:12">
      <c r="A10" s="93" t="s">
        <v>88</v>
      </c>
      <c r="B10" s="60"/>
      <c r="C10" s="59"/>
      <c r="D10" s="78">
        <f>D12+D22</f>
        <v>1063829.7872340425</v>
      </c>
      <c r="E10" s="78">
        <f>E12+E22</f>
        <v>2195563.603440471</v>
      </c>
      <c r="F10" s="78">
        <f>F12+F22</f>
        <v>4463365.5355749689</v>
      </c>
      <c r="G10" s="78">
        <f>G12+G22</f>
        <v>3684431.4208244351</v>
      </c>
      <c r="H10" s="61"/>
      <c r="I10" s="61"/>
      <c r="J10" s="61"/>
      <c r="K10" s="61"/>
      <c r="L10" s="61"/>
    </row>
    <row r="11" spans="1:12" ht="15.75" thickBot="1">
      <c r="A11" s="21" t="s">
        <v>80</v>
      </c>
      <c r="B11" s="22"/>
      <c r="C11" s="21"/>
      <c r="D11" s="87">
        <f>C11+D10</f>
        <v>1063829.7872340425</v>
      </c>
      <c r="E11" s="87">
        <f t="shared" ref="E11:J11" si="0">D11+E10</f>
        <v>3259393.3906745138</v>
      </c>
      <c r="F11" s="87">
        <f t="shared" si="0"/>
        <v>7722758.9262494827</v>
      </c>
      <c r="G11" s="87">
        <f t="shared" si="0"/>
        <v>11407190.347073918</v>
      </c>
      <c r="H11" s="87">
        <f t="shared" si="0"/>
        <v>11407190.347073918</v>
      </c>
      <c r="I11" s="87">
        <f t="shared" si="0"/>
        <v>11407190.347073918</v>
      </c>
      <c r="J11" s="87">
        <f t="shared" si="0"/>
        <v>11407190.347073918</v>
      </c>
      <c r="K11" s="87">
        <f t="shared" ref="K11" si="1">J11+K10</f>
        <v>11407190.347073918</v>
      </c>
      <c r="L11" s="87">
        <f t="shared" ref="L11" si="2">K11+L10</f>
        <v>11407190.347073918</v>
      </c>
    </row>
    <row r="12" spans="1:12" ht="15.75" thickTop="1">
      <c r="A12" t="s">
        <v>9</v>
      </c>
      <c r="B12" s="3">
        <v>10000000</v>
      </c>
      <c r="D12" s="75">
        <f>$B$12*D13</f>
        <v>1000000</v>
      </c>
      <c r="E12" s="75">
        <f>$B$12*E13</f>
        <v>2000000</v>
      </c>
      <c r="F12" s="75">
        <f>$B$12*F13</f>
        <v>4000000</v>
      </c>
      <c r="G12" s="75">
        <f>$B$12*G13</f>
        <v>3000000</v>
      </c>
      <c r="H12" s="75"/>
      <c r="I12" s="75"/>
      <c r="J12" s="75"/>
      <c r="K12" s="75"/>
      <c r="L12" s="75"/>
    </row>
    <row r="13" spans="1:12" s="5" customFormat="1">
      <c r="A13" s="5" t="s">
        <v>8</v>
      </c>
      <c r="B13" s="6"/>
      <c r="D13" s="62">
        <v>0.1</v>
      </c>
      <c r="E13" s="62">
        <v>0.2</v>
      </c>
      <c r="F13" s="62">
        <v>0.4</v>
      </c>
      <c r="G13" s="62">
        <v>0.3</v>
      </c>
      <c r="H13" s="48"/>
      <c r="I13" s="48"/>
      <c r="J13" s="51"/>
      <c r="K13" s="51"/>
      <c r="L13" s="51"/>
    </row>
    <row r="14" spans="1:12">
      <c r="D14" s="56"/>
      <c r="E14" s="56"/>
      <c r="F14" s="56"/>
      <c r="G14" s="56"/>
      <c r="H14" s="48"/>
      <c r="I14" s="48"/>
      <c r="J14" s="48"/>
      <c r="K14" s="48"/>
      <c r="L14" s="48"/>
    </row>
    <row r="15" spans="1:12">
      <c r="A15" t="s">
        <v>10</v>
      </c>
      <c r="D15" s="56"/>
      <c r="E15" s="56"/>
      <c r="F15" s="56"/>
      <c r="G15" s="56"/>
      <c r="H15" s="48"/>
      <c r="I15" s="48"/>
      <c r="J15" s="48"/>
      <c r="K15" s="48"/>
      <c r="L15" s="48"/>
    </row>
    <row r="16" spans="1:12">
      <c r="A16" s="7" t="s">
        <v>11</v>
      </c>
      <c r="B16" s="4">
        <v>0.4</v>
      </c>
      <c r="D16" s="75">
        <f>$B$16*D10</f>
        <v>425531.91489361704</v>
      </c>
      <c r="E16" s="75">
        <f>$B$16*E10</f>
        <v>878225.44137618842</v>
      </c>
      <c r="F16" s="75">
        <f>$B$16*F10</f>
        <v>1785346.2142299877</v>
      </c>
      <c r="G16" s="75">
        <f>$B$16*G10</f>
        <v>1473772.5683297741</v>
      </c>
      <c r="H16" s="75"/>
      <c r="I16" s="75"/>
      <c r="J16" s="75"/>
      <c r="K16" s="75"/>
      <c r="L16" s="75"/>
    </row>
    <row r="17" spans="1:12">
      <c r="A17" s="7" t="s">
        <v>12</v>
      </c>
      <c r="B17" s="4">
        <f>1-B16</f>
        <v>0.6</v>
      </c>
      <c r="D17" s="75">
        <f>$B$17*D10</f>
        <v>638297.8723404255</v>
      </c>
      <c r="E17" s="75">
        <f>$B$17*E10</f>
        <v>1317338.1620642825</v>
      </c>
      <c r="F17" s="75">
        <f>$B$17*F10</f>
        <v>2678019.3213449814</v>
      </c>
      <c r="G17" s="75">
        <f>$B$17*G10</f>
        <v>2210658.8524946608</v>
      </c>
      <c r="H17" s="75"/>
      <c r="I17" s="75"/>
      <c r="J17" s="75"/>
      <c r="K17" s="75"/>
      <c r="L17" s="75"/>
    </row>
    <row r="18" spans="1:12">
      <c r="D18" s="56"/>
      <c r="E18" s="56"/>
      <c r="F18" s="56"/>
      <c r="G18" s="56"/>
      <c r="H18" s="50"/>
      <c r="I18" s="50"/>
      <c r="J18" s="50"/>
      <c r="K18" s="50"/>
      <c r="L18" s="50"/>
    </row>
    <row r="19" spans="1:12">
      <c r="A19" t="s">
        <v>77</v>
      </c>
      <c r="D19" s="75">
        <f>C19+D16</f>
        <v>425531.91489361704</v>
      </c>
      <c r="E19" s="75">
        <f t="shared" ref="E19:J19" si="3">D19+E16</f>
        <v>1303757.3562698055</v>
      </c>
      <c r="F19" s="75">
        <f t="shared" si="3"/>
        <v>3089103.5704997932</v>
      </c>
      <c r="G19" s="75">
        <f t="shared" si="3"/>
        <v>4562876.1388295675</v>
      </c>
      <c r="H19" s="75">
        <f t="shared" si="3"/>
        <v>4562876.1388295675</v>
      </c>
      <c r="I19" s="75">
        <f t="shared" si="3"/>
        <v>4562876.1388295675</v>
      </c>
      <c r="J19" s="75">
        <f t="shared" si="3"/>
        <v>4562876.1388295675</v>
      </c>
      <c r="K19" s="75">
        <f t="shared" ref="K19" si="4">J19+K16</f>
        <v>4562876.1388295675</v>
      </c>
      <c r="L19" s="75">
        <f t="shared" ref="L19" si="5">K19+L16</f>
        <v>4562876.1388295675</v>
      </c>
    </row>
    <row r="20" spans="1:12">
      <c r="D20" s="56"/>
      <c r="E20" s="56"/>
      <c r="F20" s="56"/>
      <c r="G20" s="56"/>
      <c r="H20" s="48"/>
      <c r="I20" s="48"/>
      <c r="J20" s="48"/>
      <c r="K20" s="48"/>
      <c r="L20" s="48"/>
    </row>
    <row r="21" spans="1:12">
      <c r="A21" s="9" t="s">
        <v>107</v>
      </c>
      <c r="D21" s="56"/>
      <c r="E21" s="56"/>
      <c r="F21" s="56"/>
      <c r="G21" s="56"/>
      <c r="H21" s="48"/>
      <c r="I21" s="48"/>
      <c r="J21" s="48"/>
      <c r="K21" s="48"/>
      <c r="L21" s="48"/>
    </row>
    <row r="22" spans="1:12">
      <c r="A22" s="7" t="s">
        <v>81</v>
      </c>
      <c r="B22" s="4">
        <v>0.1</v>
      </c>
      <c r="D22" s="75">
        <v>63829.787234042553</v>
      </c>
      <c r="E22" s="75">
        <v>195563.60344047082</v>
      </c>
      <c r="F22" s="75">
        <v>463365.5355749689</v>
      </c>
      <c r="G22" s="75">
        <v>684431.42082443507</v>
      </c>
      <c r="H22" s="48"/>
      <c r="I22" s="48"/>
      <c r="J22" s="48"/>
      <c r="K22" s="48"/>
      <c r="L22" s="48"/>
    </row>
    <row r="23" spans="1:12">
      <c r="A23" s="99"/>
      <c r="B23" s="4"/>
      <c r="D23" s="75">
        <f>$B$22*D29</f>
        <v>63829.787234042553</v>
      </c>
      <c r="E23" s="75">
        <f>$B$22*E29</f>
        <v>195563.60344047082</v>
      </c>
      <c r="F23" s="75">
        <f>$B$22*F29</f>
        <v>463365.5355749689</v>
      </c>
      <c r="G23" s="75">
        <f>$B$22*G29</f>
        <v>684431.42082443507</v>
      </c>
      <c r="H23" s="48"/>
      <c r="I23" s="48"/>
      <c r="J23" s="48"/>
      <c r="K23" s="48"/>
      <c r="L23" s="48"/>
    </row>
    <row r="24" spans="1:12">
      <c r="A24" s="100" t="s">
        <v>105</v>
      </c>
      <c r="B24" s="4"/>
      <c r="D24" s="101">
        <f>D23-D22</f>
        <v>0</v>
      </c>
      <c r="E24" s="101">
        <f>E23-E22</f>
        <v>0</v>
      </c>
      <c r="F24" s="101">
        <f>F23-F22</f>
        <v>0</v>
      </c>
      <c r="G24" s="101">
        <f>G23-G22</f>
        <v>0</v>
      </c>
      <c r="H24" s="48"/>
      <c r="I24" s="48"/>
      <c r="J24" s="48"/>
      <c r="K24" s="48"/>
      <c r="L24" s="48"/>
    </row>
    <row r="25" spans="1:12">
      <c r="A25" s="7"/>
      <c r="H25" s="48"/>
      <c r="I25" s="48"/>
      <c r="J25" s="48"/>
      <c r="K25" s="48"/>
      <c r="L25" s="48"/>
    </row>
    <row r="26" spans="1:12">
      <c r="A26" s="88" t="s">
        <v>79</v>
      </c>
      <c r="H26" s="48"/>
      <c r="I26" s="48"/>
      <c r="J26" s="48"/>
      <c r="K26" s="48"/>
      <c r="L26" s="48"/>
    </row>
    <row r="27" spans="1:12">
      <c r="A27" s="10" t="s">
        <v>17</v>
      </c>
      <c r="D27" s="75">
        <f>C29</f>
        <v>0</v>
      </c>
      <c r="E27" s="75">
        <f t="shared" ref="E27:J27" si="6">D29</f>
        <v>638297.8723404255</v>
      </c>
      <c r="F27" s="75">
        <f t="shared" si="6"/>
        <v>1955636.0344047081</v>
      </c>
      <c r="G27" s="75">
        <f t="shared" si="6"/>
        <v>4633655.355749689</v>
      </c>
      <c r="H27" s="75">
        <f t="shared" si="6"/>
        <v>6844314.2082443498</v>
      </c>
      <c r="I27" s="75">
        <f t="shared" si="6"/>
        <v>6844314.2082443498</v>
      </c>
      <c r="J27" s="75">
        <f t="shared" si="6"/>
        <v>6844314.2082443498</v>
      </c>
      <c r="K27" s="75">
        <f t="shared" ref="K27" si="7">J29</f>
        <v>6844314.2082443498</v>
      </c>
      <c r="L27" s="75">
        <f t="shared" ref="L27" si="8">K29</f>
        <v>6844314.2082443498</v>
      </c>
    </row>
    <row r="28" spans="1:12">
      <c r="A28" s="14" t="s">
        <v>108</v>
      </c>
      <c r="B28" s="13"/>
      <c r="C28" s="11"/>
      <c r="D28" s="74">
        <f>D17</f>
        <v>638297.8723404255</v>
      </c>
      <c r="E28" s="74">
        <f>E17</f>
        <v>1317338.1620642825</v>
      </c>
      <c r="F28" s="74">
        <f>F17</f>
        <v>2678019.3213449814</v>
      </c>
      <c r="G28" s="74">
        <f>G17</f>
        <v>2210658.8524946608</v>
      </c>
      <c r="H28" s="74">
        <v>0</v>
      </c>
      <c r="I28" s="74">
        <v>0</v>
      </c>
      <c r="J28" s="74">
        <v>0</v>
      </c>
      <c r="K28" s="74">
        <v>0</v>
      </c>
      <c r="L28" s="74">
        <f>-K27</f>
        <v>-6844314.2082443498</v>
      </c>
    </row>
    <row r="29" spans="1:12">
      <c r="A29" t="s">
        <v>14</v>
      </c>
      <c r="C29" s="3"/>
      <c r="D29" s="75">
        <f>SUM(D27:D28)</f>
        <v>638297.8723404255</v>
      </c>
      <c r="E29" s="75">
        <f t="shared" ref="E29:J29" si="9">SUM(E27:E28)</f>
        <v>1955636.0344047081</v>
      </c>
      <c r="F29" s="75">
        <f t="shared" si="9"/>
        <v>4633655.355749689</v>
      </c>
      <c r="G29" s="75">
        <f t="shared" si="9"/>
        <v>6844314.2082443498</v>
      </c>
      <c r="H29" s="75">
        <f t="shared" si="9"/>
        <v>6844314.2082443498</v>
      </c>
      <c r="I29" s="75">
        <f t="shared" si="9"/>
        <v>6844314.2082443498</v>
      </c>
      <c r="J29" s="75">
        <f t="shared" si="9"/>
        <v>6844314.2082443498</v>
      </c>
      <c r="K29" s="75">
        <f t="shared" ref="K29:L29" si="10">SUM(K27:K28)</f>
        <v>6844314.2082443498</v>
      </c>
      <c r="L29" s="75">
        <f t="shared" si="10"/>
        <v>0</v>
      </c>
    </row>
    <row r="30" spans="1:12">
      <c r="D30" s="56"/>
      <c r="E30" s="56"/>
      <c r="F30" s="56"/>
      <c r="G30" s="56"/>
      <c r="H30" s="48"/>
      <c r="I30" s="48"/>
      <c r="J30" s="48"/>
      <c r="K30" s="48"/>
      <c r="L30" s="48"/>
    </row>
    <row r="31" spans="1:12">
      <c r="D31" s="54"/>
      <c r="E31" s="54"/>
      <c r="F31" s="54"/>
      <c r="G31" s="54"/>
      <c r="H31" s="48"/>
      <c r="I31" s="48"/>
      <c r="J31" s="48"/>
      <c r="K31" s="48"/>
      <c r="L31" s="48"/>
    </row>
    <row r="32" spans="1:12" ht="15.75" thickBot="1">
      <c r="A32" s="38" t="s">
        <v>18</v>
      </c>
      <c r="B32" s="39"/>
      <c r="C32" s="36"/>
      <c r="D32" s="37"/>
      <c r="E32" s="37"/>
      <c r="F32" s="37"/>
      <c r="G32" s="37"/>
      <c r="H32" s="49"/>
      <c r="I32" s="49"/>
      <c r="J32" s="49"/>
      <c r="K32" s="49"/>
      <c r="L32" s="49"/>
    </row>
    <row r="33" spans="1:12">
      <c r="A33" t="s">
        <v>46</v>
      </c>
      <c r="B33" s="40" t="s">
        <v>45</v>
      </c>
      <c r="H33" s="48"/>
      <c r="I33" s="48"/>
      <c r="J33" s="48"/>
      <c r="K33" s="48"/>
      <c r="L33" s="48"/>
    </row>
    <row r="34" spans="1:12">
      <c r="A34" t="s">
        <v>59</v>
      </c>
      <c r="B34" s="3">
        <v>5000</v>
      </c>
      <c r="C34" s="102"/>
      <c r="H34" s="75">
        <f>B34</f>
        <v>5000</v>
      </c>
      <c r="I34" s="75">
        <f>H34*(1+$B$37)</f>
        <v>5250</v>
      </c>
      <c r="J34" s="75">
        <f>I34*(1+$B$37)</f>
        <v>5512.5</v>
      </c>
      <c r="K34" s="75">
        <f t="shared" ref="K34:L34" si="11">J34*(1+$B$37)</f>
        <v>5788.125</v>
      </c>
      <c r="L34" s="75">
        <f t="shared" si="11"/>
        <v>6077.53125</v>
      </c>
    </row>
    <row r="35" spans="1:12">
      <c r="A35" t="s">
        <v>57</v>
      </c>
      <c r="B35" s="3">
        <v>1500</v>
      </c>
      <c r="C35" s="102"/>
      <c r="H35" s="75">
        <f t="shared" ref="H35:H36" si="12">B35</f>
        <v>1500</v>
      </c>
      <c r="I35" s="75">
        <f>H35*(1+$B$38)</f>
        <v>1650.0000000000002</v>
      </c>
      <c r="J35" s="75">
        <f>I35*(1+$B$38)</f>
        <v>1815.0000000000005</v>
      </c>
      <c r="K35" s="75">
        <f t="shared" ref="K35:L35" si="13">J35*(1+$B$38)</f>
        <v>1996.5000000000007</v>
      </c>
      <c r="L35" s="75">
        <f t="shared" si="13"/>
        <v>2196.150000000001</v>
      </c>
    </row>
    <row r="36" spans="1:12">
      <c r="A36" t="s">
        <v>58</v>
      </c>
      <c r="B36" s="3">
        <v>750</v>
      </c>
      <c r="C36" s="102"/>
      <c r="H36" s="75">
        <f t="shared" si="12"/>
        <v>750</v>
      </c>
      <c r="I36" s="75">
        <f>H36*(1+$B$39)</f>
        <v>787.5</v>
      </c>
      <c r="J36" s="75">
        <f>I36*(1+$B$39)</f>
        <v>826.875</v>
      </c>
      <c r="K36" s="75">
        <f t="shared" ref="K36:L36" si="14">J36*(1+$B$39)</f>
        <v>868.21875</v>
      </c>
      <c r="L36" s="75">
        <f t="shared" si="14"/>
        <v>911.62968750000005</v>
      </c>
    </row>
    <row r="37" spans="1:12">
      <c r="A37" t="s">
        <v>44</v>
      </c>
      <c r="B37" s="19">
        <v>0.05</v>
      </c>
      <c r="C37" s="102"/>
      <c r="H37" s="82"/>
      <c r="I37" s="82"/>
      <c r="J37" s="82"/>
      <c r="K37" s="82"/>
      <c r="L37" s="82"/>
    </row>
    <row r="38" spans="1:12">
      <c r="A38" t="s">
        <v>56</v>
      </c>
      <c r="B38" s="19">
        <v>0.1</v>
      </c>
      <c r="C38" s="102"/>
      <c r="H38" s="82"/>
      <c r="I38" s="82"/>
      <c r="J38" s="82"/>
      <c r="K38" s="82"/>
      <c r="L38" s="82"/>
    </row>
    <row r="39" spans="1:12">
      <c r="A39" t="s">
        <v>19</v>
      </c>
      <c r="B39" s="19">
        <v>0.05</v>
      </c>
      <c r="C39" s="102"/>
      <c r="H39" s="82"/>
      <c r="I39" s="82"/>
      <c r="J39" s="82"/>
      <c r="K39" s="82"/>
      <c r="L39" s="82"/>
    </row>
    <row r="40" spans="1:12">
      <c r="H40" s="48"/>
      <c r="I40" s="48"/>
      <c r="J40" s="48"/>
      <c r="K40" s="48"/>
      <c r="L40" s="48"/>
    </row>
    <row r="41" spans="1:12" ht="15.75" thickBot="1">
      <c r="A41" s="38" t="s">
        <v>20</v>
      </c>
      <c r="B41" s="35"/>
      <c r="C41" s="36"/>
      <c r="D41" s="36"/>
      <c r="E41" s="36"/>
      <c r="F41" s="36"/>
      <c r="G41" s="36"/>
      <c r="H41" s="49"/>
      <c r="I41" s="49"/>
      <c r="J41" s="49"/>
      <c r="K41" s="49"/>
      <c r="L41" s="49"/>
    </row>
    <row r="42" spans="1:12">
      <c r="H42" s="48"/>
      <c r="I42" s="48"/>
      <c r="J42" s="48"/>
      <c r="K42" s="48"/>
      <c r="L42" s="48"/>
    </row>
    <row r="43" spans="1:12">
      <c r="A43" s="7" t="s">
        <v>0</v>
      </c>
      <c r="H43" s="75">
        <f>H34*H35</f>
        <v>7500000</v>
      </c>
      <c r="I43" s="75">
        <f>I34*I35</f>
        <v>8662500.0000000019</v>
      </c>
      <c r="J43" s="75">
        <f>J34*J35</f>
        <v>10005187.500000002</v>
      </c>
      <c r="K43" s="75">
        <f t="shared" ref="K43:L43" si="15">K34*K35</f>
        <v>11555991.562500004</v>
      </c>
      <c r="L43" s="75">
        <f t="shared" si="15"/>
        <v>13347170.254687507</v>
      </c>
    </row>
    <row r="44" spans="1:12">
      <c r="A44" s="7" t="s">
        <v>21</v>
      </c>
      <c r="H44" s="75">
        <f>H36*H34</f>
        <v>3750000</v>
      </c>
      <c r="I44" s="75">
        <f>I36*I34</f>
        <v>4134375</v>
      </c>
      <c r="J44" s="75">
        <f>J36*J34</f>
        <v>4558148.4375</v>
      </c>
      <c r="K44" s="75">
        <f t="shared" ref="K44:L44" si="16">K36*K34</f>
        <v>5025358.65234375</v>
      </c>
      <c r="L44" s="75">
        <f t="shared" si="16"/>
        <v>5540457.9142089849</v>
      </c>
    </row>
    <row r="45" spans="1:12">
      <c r="A45" s="23" t="s">
        <v>22</v>
      </c>
      <c r="B45" s="12">
        <v>0.2</v>
      </c>
      <c r="C45" s="11"/>
      <c r="D45" s="11"/>
      <c r="E45" s="11"/>
      <c r="F45" s="11"/>
      <c r="G45" s="11"/>
      <c r="H45" s="74">
        <f>H43*$B$45</f>
        <v>1500000</v>
      </c>
      <c r="I45" s="74">
        <f>I43*$B$45</f>
        <v>1732500.0000000005</v>
      </c>
      <c r="J45" s="74">
        <f>J43*$B$45</f>
        <v>2001037.5000000005</v>
      </c>
      <c r="K45" s="74">
        <f t="shared" ref="K45:L45" si="17">K43*$B$45</f>
        <v>2311198.3125000009</v>
      </c>
      <c r="L45" s="74">
        <f t="shared" si="17"/>
        <v>2669434.0509375017</v>
      </c>
    </row>
    <row r="46" spans="1:12">
      <c r="A46" t="s">
        <v>6</v>
      </c>
      <c r="B46" s="4"/>
      <c r="H46" s="75">
        <f>H43-SUM(H44:H45)</f>
        <v>2250000</v>
      </c>
      <c r="I46" s="75">
        <f>I43-SUM(I44:I45)</f>
        <v>2795625.0000000019</v>
      </c>
      <c r="J46" s="75">
        <f>J43-SUM(J44:J45)</f>
        <v>3446001.5625000019</v>
      </c>
      <c r="K46" s="75">
        <f t="shared" ref="K46:L46" si="18">K43-SUM(K44:K45)</f>
        <v>4219434.5976562528</v>
      </c>
      <c r="L46" s="75">
        <f t="shared" si="18"/>
        <v>5137278.2895410201</v>
      </c>
    </row>
    <row r="47" spans="1:12">
      <c r="A47" s="14" t="s">
        <v>2</v>
      </c>
      <c r="B47" s="13"/>
      <c r="C47" s="18"/>
      <c r="D47" s="18"/>
      <c r="E47" s="18"/>
      <c r="F47" s="18"/>
      <c r="G47" s="18"/>
      <c r="H47" s="74">
        <f>H11/5</f>
        <v>2281438.0694147837</v>
      </c>
      <c r="I47" s="74">
        <f t="shared" ref="I47:L47" si="19">I11/5</f>
        <v>2281438.0694147837</v>
      </c>
      <c r="J47" s="74">
        <f t="shared" si="19"/>
        <v>2281438.0694147837</v>
      </c>
      <c r="K47" s="74">
        <f t="shared" si="19"/>
        <v>2281438.0694147837</v>
      </c>
      <c r="L47" s="74">
        <f t="shared" si="19"/>
        <v>2281438.0694147837</v>
      </c>
    </row>
    <row r="48" spans="1:12">
      <c r="A48" t="s">
        <v>23</v>
      </c>
      <c r="H48" s="75">
        <f>H46-H47</f>
        <v>-31438.069414783735</v>
      </c>
      <c r="I48" s="75">
        <f>I46-I47</f>
        <v>514186.93058521813</v>
      </c>
      <c r="J48" s="75">
        <f>J46-J47</f>
        <v>1164563.4930852181</v>
      </c>
      <c r="K48" s="75">
        <f t="shared" ref="K48:L48" si="20">K46-K47</f>
        <v>1937996.5282414691</v>
      </c>
      <c r="L48" s="75">
        <f t="shared" si="20"/>
        <v>2855840.2201262363</v>
      </c>
    </row>
    <row r="49" spans="1:12">
      <c r="A49" s="14" t="s">
        <v>24</v>
      </c>
      <c r="B49" s="13"/>
      <c r="C49" s="11"/>
      <c r="D49" s="11"/>
      <c r="E49" s="11"/>
      <c r="F49" s="11"/>
      <c r="G49" s="11"/>
      <c r="H49" s="81">
        <f>H94</f>
        <v>684431.42082443507</v>
      </c>
      <c r="I49" s="81">
        <f>I94</f>
        <v>627341.62028214557</v>
      </c>
      <c r="J49" s="81">
        <f>J94</f>
        <v>483699.28370189562</v>
      </c>
      <c r="K49" s="81">
        <f t="shared" ref="K49:L49" si="21">K94</f>
        <v>300035.08508307789</v>
      </c>
      <c r="L49" s="81">
        <f t="shared" si="21"/>
        <v>70929.937946781749</v>
      </c>
    </row>
    <row r="50" spans="1:12">
      <c r="A50" t="s">
        <v>25</v>
      </c>
      <c r="H50" s="75">
        <f>H48-H49</f>
        <v>-715869.49023921881</v>
      </c>
      <c r="I50" s="75">
        <f>I48-I49</f>
        <v>-113154.68969692744</v>
      </c>
      <c r="J50" s="75">
        <f>J48-J49</f>
        <v>680864.20938332251</v>
      </c>
      <c r="K50" s="75">
        <f t="shared" ref="K50:L50" si="22">K48-K49</f>
        <v>1637961.4431583912</v>
      </c>
      <c r="L50" s="75">
        <f t="shared" si="22"/>
        <v>2784910.2821794543</v>
      </c>
    </row>
    <row r="51" spans="1:12">
      <c r="A51" s="14" t="s">
        <v>1</v>
      </c>
      <c r="B51" s="12">
        <v>0.3</v>
      </c>
      <c r="C51" s="11"/>
      <c r="D51" s="11"/>
      <c r="E51" s="11"/>
      <c r="F51" s="11"/>
      <c r="G51" s="11"/>
      <c r="H51" s="74">
        <f>IF(H50&lt;0,0,$B$51*H50)</f>
        <v>0</v>
      </c>
      <c r="I51" s="74">
        <f t="shared" ref="I51:L51" si="23">IF(I50&lt;0,0,$B$51*I50)</f>
        <v>0</v>
      </c>
      <c r="J51" s="74">
        <f t="shared" si="23"/>
        <v>204259.26281499673</v>
      </c>
      <c r="K51" s="74">
        <f t="shared" si="23"/>
        <v>491388.43294751731</v>
      </c>
      <c r="L51" s="74">
        <f t="shared" si="23"/>
        <v>835473.08465383633</v>
      </c>
    </row>
    <row r="52" spans="1:12">
      <c r="A52" t="s">
        <v>26</v>
      </c>
      <c r="H52" s="98">
        <f>H50-H51</f>
        <v>-715869.49023921881</v>
      </c>
      <c r="I52" s="98">
        <f>I50-I51</f>
        <v>-113154.68969692744</v>
      </c>
      <c r="J52" s="98">
        <f>J50-J51</f>
        <v>476604.94656832574</v>
      </c>
      <c r="K52" s="98">
        <f t="shared" ref="K52:L52" si="24">K50-K51</f>
        <v>1146573.0102108738</v>
      </c>
      <c r="L52" s="98">
        <f t="shared" si="24"/>
        <v>1949437.1975256181</v>
      </c>
    </row>
    <row r="53" spans="1:12">
      <c r="D53" s="54"/>
      <c r="E53" s="54"/>
      <c r="F53" s="54"/>
      <c r="G53" s="54"/>
      <c r="H53" s="48"/>
      <c r="I53" s="48"/>
      <c r="J53" s="48"/>
      <c r="K53" s="48"/>
      <c r="L53" s="48"/>
    </row>
    <row r="54" spans="1:12" ht="15.75" thickBot="1">
      <c r="A54" s="38" t="s">
        <v>27</v>
      </c>
      <c r="B54" s="35"/>
      <c r="C54" s="36"/>
      <c r="D54" s="37"/>
      <c r="E54" s="37"/>
      <c r="F54" s="37"/>
      <c r="G54" s="37"/>
      <c r="H54" s="49"/>
      <c r="I54" s="49"/>
      <c r="J54" s="49"/>
      <c r="K54" s="49"/>
      <c r="L54" s="49"/>
    </row>
    <row r="55" spans="1:12">
      <c r="D55" s="54"/>
      <c r="E55" s="54"/>
      <c r="F55" s="54"/>
      <c r="G55" s="54"/>
      <c r="H55" s="48"/>
      <c r="I55" s="48"/>
      <c r="J55" s="48"/>
      <c r="K55" s="48"/>
      <c r="L55" s="48"/>
    </row>
    <row r="56" spans="1:12">
      <c r="A56" s="8" t="s">
        <v>28</v>
      </c>
      <c r="D56" s="54"/>
      <c r="E56" s="54"/>
      <c r="F56" s="54"/>
      <c r="G56" s="54"/>
      <c r="H56" s="48"/>
      <c r="I56" s="48"/>
      <c r="J56" s="48"/>
      <c r="K56" s="48"/>
      <c r="L56" s="48"/>
    </row>
    <row r="57" spans="1:12">
      <c r="A57" s="7" t="s">
        <v>12</v>
      </c>
      <c r="C57" s="2"/>
      <c r="D57" s="73">
        <f>D29</f>
        <v>638297.8723404255</v>
      </c>
      <c r="E57" s="73">
        <f t="shared" ref="E57:J57" si="25">E29</f>
        <v>1955636.0344047081</v>
      </c>
      <c r="F57" s="73">
        <f t="shared" si="25"/>
        <v>4633655.355749689</v>
      </c>
      <c r="G57" s="73">
        <f t="shared" si="25"/>
        <v>6844314.2082443498</v>
      </c>
      <c r="H57" s="73">
        <f t="shared" si="25"/>
        <v>6844314.2082443498</v>
      </c>
      <c r="I57" s="73">
        <f t="shared" si="25"/>
        <v>6844314.2082443498</v>
      </c>
      <c r="J57" s="73">
        <f t="shared" si="25"/>
        <v>6844314.2082443498</v>
      </c>
      <c r="K57" s="73">
        <f t="shared" ref="K57:L57" si="26">K29</f>
        <v>6844314.2082443498</v>
      </c>
      <c r="L57" s="73">
        <f t="shared" si="26"/>
        <v>0</v>
      </c>
    </row>
    <row r="58" spans="1:12">
      <c r="A58" s="7" t="s">
        <v>77</v>
      </c>
      <c r="D58" s="73">
        <f>D19</f>
        <v>425531.91489361704</v>
      </c>
      <c r="E58" s="73">
        <f>E19</f>
        <v>1303757.3562698055</v>
      </c>
      <c r="F58" s="73">
        <f t="shared" ref="F58:H58" si="27">F19</f>
        <v>3089103.5704997932</v>
      </c>
      <c r="G58" s="73">
        <f t="shared" si="27"/>
        <v>4562876.1388295675</v>
      </c>
      <c r="H58" s="73">
        <f t="shared" si="27"/>
        <v>4562876.1388295675</v>
      </c>
      <c r="I58" s="73">
        <f>I19</f>
        <v>4562876.1388295675</v>
      </c>
      <c r="J58" s="73">
        <f>J19</f>
        <v>4562876.1388295675</v>
      </c>
      <c r="K58" s="73">
        <f t="shared" ref="K58:L58" si="28">K19</f>
        <v>4562876.1388295675</v>
      </c>
      <c r="L58" s="73">
        <f t="shared" si="28"/>
        <v>4562876.1388295675</v>
      </c>
    </row>
    <row r="59" spans="1:12">
      <c r="A59" s="14" t="s">
        <v>78</v>
      </c>
      <c r="B59" s="13"/>
      <c r="C59" s="17"/>
      <c r="D59" s="74">
        <f t="shared" ref="D59:J59" si="29">C59+D52</f>
        <v>0</v>
      </c>
      <c r="E59" s="74">
        <f t="shared" si="29"/>
        <v>0</v>
      </c>
      <c r="F59" s="74">
        <f t="shared" si="29"/>
        <v>0</v>
      </c>
      <c r="G59" s="74">
        <f t="shared" si="29"/>
        <v>0</v>
      </c>
      <c r="H59" s="74">
        <f t="shared" si="29"/>
        <v>-715869.49023921881</v>
      </c>
      <c r="I59" s="74">
        <f t="shared" si="29"/>
        <v>-829024.17993614625</v>
      </c>
      <c r="J59" s="74">
        <f t="shared" si="29"/>
        <v>-352419.2333678205</v>
      </c>
      <c r="K59" s="74">
        <f t="shared" ref="K59" si="30">J59+K52</f>
        <v>794153.77684305329</v>
      </c>
      <c r="L59" s="74">
        <f t="shared" ref="L59" si="31">K59+L52</f>
        <v>2743590.9743686714</v>
      </c>
    </row>
    <row r="60" spans="1:12">
      <c r="A60" t="s">
        <v>5</v>
      </c>
      <c r="C60" s="2"/>
      <c r="D60" s="73">
        <f t="shared" ref="D60:J60" si="32">SUM(D57:D59)</f>
        <v>1063829.7872340425</v>
      </c>
      <c r="E60" s="73">
        <f t="shared" si="32"/>
        <v>3259393.3906745138</v>
      </c>
      <c r="F60" s="73">
        <f t="shared" si="32"/>
        <v>7722758.9262494817</v>
      </c>
      <c r="G60" s="73">
        <f t="shared" si="32"/>
        <v>11407190.347073916</v>
      </c>
      <c r="H60" s="73">
        <f t="shared" si="32"/>
        <v>10691320.856834698</v>
      </c>
      <c r="I60" s="73">
        <f t="shared" si="32"/>
        <v>10578166.16713777</v>
      </c>
      <c r="J60" s="73">
        <f t="shared" si="32"/>
        <v>11054771.113706095</v>
      </c>
      <c r="K60" s="73">
        <f t="shared" ref="K60:L60" si="33">SUM(K57:K59)</f>
        <v>12201344.123916969</v>
      </c>
      <c r="L60" s="73">
        <f t="shared" si="33"/>
        <v>7306467.1131982394</v>
      </c>
    </row>
    <row r="61" spans="1:12">
      <c r="D61" s="54"/>
      <c r="E61" s="54"/>
      <c r="F61" s="54"/>
      <c r="G61" s="54"/>
      <c r="H61" s="54"/>
      <c r="I61" s="54"/>
      <c r="J61" s="54"/>
      <c r="K61" s="54"/>
      <c r="L61" s="54"/>
    </row>
    <row r="62" spans="1:12">
      <c r="A62" s="8" t="s">
        <v>29</v>
      </c>
      <c r="D62" s="54"/>
      <c r="E62" s="54"/>
      <c r="F62" s="54"/>
      <c r="G62" s="54"/>
      <c r="H62" s="54"/>
      <c r="I62" s="54"/>
      <c r="J62" s="54"/>
      <c r="K62" s="54"/>
      <c r="L62" s="54"/>
    </row>
    <row r="63" spans="1:12">
      <c r="A63" s="7" t="s">
        <v>80</v>
      </c>
      <c r="C63" s="1"/>
      <c r="D63" s="75">
        <f>D11</f>
        <v>1063829.7872340425</v>
      </c>
      <c r="E63" s="75">
        <f t="shared" ref="E63:J63" si="34">E11</f>
        <v>3259393.3906745138</v>
      </c>
      <c r="F63" s="75">
        <f t="shared" si="34"/>
        <v>7722758.9262494827</v>
      </c>
      <c r="G63" s="75">
        <f t="shared" si="34"/>
        <v>11407190.347073918</v>
      </c>
      <c r="H63" s="75">
        <f t="shared" si="34"/>
        <v>11407190.347073918</v>
      </c>
      <c r="I63" s="75">
        <f t="shared" si="34"/>
        <v>11407190.347073918</v>
      </c>
      <c r="J63" s="75">
        <f t="shared" si="34"/>
        <v>11407190.347073918</v>
      </c>
      <c r="K63" s="75">
        <f t="shared" ref="K63:L63" si="35">K11</f>
        <v>11407190.347073918</v>
      </c>
      <c r="L63" s="75">
        <f t="shared" si="35"/>
        <v>11407190.347073918</v>
      </c>
    </row>
    <row r="64" spans="1:12">
      <c r="A64" s="14" t="s">
        <v>30</v>
      </c>
      <c r="B64" s="13">
        <v>5</v>
      </c>
      <c r="C64" s="11"/>
      <c r="D64" s="81">
        <f>C64+D74</f>
        <v>0</v>
      </c>
      <c r="E64" s="81">
        <f t="shared" ref="E64:J64" si="36">D64+E74</f>
        <v>0</v>
      </c>
      <c r="F64" s="81">
        <f t="shared" si="36"/>
        <v>0</v>
      </c>
      <c r="G64" s="81">
        <f t="shared" si="36"/>
        <v>0</v>
      </c>
      <c r="H64" s="81">
        <f t="shared" si="36"/>
        <v>2281438.0694147837</v>
      </c>
      <c r="I64" s="81">
        <f t="shared" si="36"/>
        <v>4562876.1388295675</v>
      </c>
      <c r="J64" s="81">
        <f t="shared" si="36"/>
        <v>6844314.2082443517</v>
      </c>
      <c r="K64" s="81">
        <f t="shared" ref="K64" si="37">J64+K74</f>
        <v>9125752.2776591349</v>
      </c>
      <c r="L64" s="81">
        <f t="shared" ref="L64" si="38">K64+L74</f>
        <v>11407190.347073918</v>
      </c>
    </row>
    <row r="65" spans="1:12">
      <c r="A65" s="8" t="s">
        <v>83</v>
      </c>
      <c r="D65" s="75">
        <f>D63-D64</f>
        <v>1063829.7872340425</v>
      </c>
      <c r="E65" s="75">
        <f t="shared" ref="E65:J65" si="39">E63-E64</f>
        <v>3259393.3906745138</v>
      </c>
      <c r="F65" s="75">
        <f t="shared" si="39"/>
        <v>7722758.9262494827</v>
      </c>
      <c r="G65" s="75">
        <f>G63-G64</f>
        <v>11407190.347073918</v>
      </c>
      <c r="H65" s="75">
        <f t="shared" si="39"/>
        <v>9125752.2776591349</v>
      </c>
      <c r="I65" s="75">
        <f t="shared" si="39"/>
        <v>6844314.2082443507</v>
      </c>
      <c r="J65" s="75">
        <f t="shared" si="39"/>
        <v>4562876.1388295665</v>
      </c>
      <c r="K65" s="75">
        <f t="shared" ref="K65:L65" si="40">K63-K64</f>
        <v>2281438.0694147833</v>
      </c>
      <c r="L65" s="75">
        <f t="shared" si="40"/>
        <v>0</v>
      </c>
    </row>
    <row r="66" spans="1:12">
      <c r="A66" s="72" t="s">
        <v>3</v>
      </c>
      <c r="B66" s="67"/>
      <c r="C66" s="68"/>
      <c r="D66" s="76">
        <f>D88</f>
        <v>0</v>
      </c>
      <c r="E66" s="76">
        <f t="shared" ref="E66:J66" si="41">E88</f>
        <v>0</v>
      </c>
      <c r="F66" s="76">
        <f t="shared" si="41"/>
        <v>0</v>
      </c>
      <c r="G66" s="76">
        <f t="shared" si="41"/>
        <v>0</v>
      </c>
      <c r="H66" s="76">
        <f t="shared" si="41"/>
        <v>815568.57917556493</v>
      </c>
      <c r="I66" s="76">
        <f t="shared" si="41"/>
        <v>2867601.9588934211</v>
      </c>
      <c r="J66" s="76">
        <f t="shared" si="41"/>
        <v>5491376.2248765305</v>
      </c>
      <c r="K66" s="76">
        <f t="shared" ref="K66:L66" si="42">K88</f>
        <v>8764306.8982521892</v>
      </c>
      <c r="L66" s="76">
        <f t="shared" si="42"/>
        <v>5971750.0877294913</v>
      </c>
    </row>
    <row r="67" spans="1:12">
      <c r="A67" s="72" t="s">
        <v>31</v>
      </c>
      <c r="B67" s="69">
        <v>0.1</v>
      </c>
      <c r="C67" s="70"/>
      <c r="D67" s="77">
        <f>D43*$B$67</f>
        <v>0</v>
      </c>
      <c r="E67" s="77">
        <f t="shared" ref="E67:G67" si="43">E43*$B$67</f>
        <v>0</v>
      </c>
      <c r="F67" s="77">
        <f t="shared" si="43"/>
        <v>0</v>
      </c>
      <c r="G67" s="77">
        <f t="shared" si="43"/>
        <v>0</v>
      </c>
      <c r="H67" s="77">
        <f>H43*$B$67</f>
        <v>750000</v>
      </c>
      <c r="I67" s="77">
        <f>I43*$B$67</f>
        <v>866250.00000000023</v>
      </c>
      <c r="J67" s="77">
        <f>J43*$B$67</f>
        <v>1000518.7500000002</v>
      </c>
      <c r="K67" s="77">
        <f t="shared" ref="K67:L67" si="44">K43*$B$67</f>
        <v>1155599.1562500005</v>
      </c>
      <c r="L67" s="77">
        <f t="shared" si="44"/>
        <v>1334717.0254687509</v>
      </c>
    </row>
    <row r="68" spans="1:12">
      <c r="A68" s="59" t="s">
        <v>4</v>
      </c>
      <c r="B68" s="60"/>
      <c r="C68" s="71"/>
      <c r="D68" s="78">
        <f>D65+D66+D67</f>
        <v>1063829.7872340425</v>
      </c>
      <c r="E68" s="78">
        <f t="shared" ref="E68:J68" si="45">E65+E66+E67</f>
        <v>3259393.3906745138</v>
      </c>
      <c r="F68" s="78">
        <f t="shared" si="45"/>
        <v>7722758.9262494827</v>
      </c>
      <c r="G68" s="78">
        <f t="shared" si="45"/>
        <v>11407190.347073918</v>
      </c>
      <c r="H68" s="78">
        <f t="shared" si="45"/>
        <v>10691320.8568347</v>
      </c>
      <c r="I68" s="78">
        <f t="shared" si="45"/>
        <v>10578166.167137772</v>
      </c>
      <c r="J68" s="78">
        <f t="shared" si="45"/>
        <v>11054771.113706097</v>
      </c>
      <c r="K68" s="78">
        <f t="shared" ref="K68:L68" si="46">K65+K66+K67</f>
        <v>12201344.123916972</v>
      </c>
      <c r="L68" s="78">
        <f t="shared" si="46"/>
        <v>7306467.1131982422</v>
      </c>
    </row>
    <row r="69" spans="1:12" s="15" customFormat="1" ht="12.75">
      <c r="A69" s="15" t="s">
        <v>13</v>
      </c>
      <c r="C69" s="16"/>
      <c r="D69" s="57">
        <f t="shared" ref="D69:J69" si="47">D68-D60</f>
        <v>0</v>
      </c>
      <c r="E69" s="57">
        <f>E68-E60</f>
        <v>0</v>
      </c>
      <c r="F69" s="57">
        <f t="shared" si="47"/>
        <v>0</v>
      </c>
      <c r="G69" s="57">
        <f t="shared" si="47"/>
        <v>0</v>
      </c>
      <c r="H69" s="57">
        <f t="shared" si="47"/>
        <v>0</v>
      </c>
      <c r="I69" s="57">
        <f t="shared" si="47"/>
        <v>0</v>
      </c>
      <c r="J69" s="57">
        <f t="shared" si="47"/>
        <v>0</v>
      </c>
      <c r="K69" s="57">
        <f t="shared" ref="K69:L69" si="48">K68-K60</f>
        <v>0</v>
      </c>
      <c r="L69" s="57">
        <f t="shared" si="48"/>
        <v>0</v>
      </c>
    </row>
    <row r="70" spans="1:12">
      <c r="D70" s="103"/>
      <c r="E70" s="54"/>
      <c r="F70" s="54"/>
      <c r="G70" s="54"/>
      <c r="H70" s="48"/>
      <c r="I70" s="48"/>
      <c r="J70" s="48"/>
      <c r="K70" s="48"/>
      <c r="L70" s="48"/>
    </row>
    <row r="71" spans="1:12" ht="15.75" thickBot="1">
      <c r="A71" s="38" t="s">
        <v>32</v>
      </c>
      <c r="B71" s="35"/>
      <c r="C71" s="36"/>
      <c r="D71" s="37"/>
      <c r="E71" s="37"/>
      <c r="F71" s="37"/>
      <c r="G71" s="37"/>
      <c r="H71" s="49"/>
      <c r="I71" s="49"/>
      <c r="J71" s="49"/>
      <c r="K71" s="49"/>
      <c r="L71" s="49"/>
    </row>
    <row r="72" spans="1:12">
      <c r="D72" s="54"/>
      <c r="E72" s="54"/>
      <c r="F72" s="54"/>
      <c r="G72" s="54"/>
      <c r="H72" s="48"/>
      <c r="I72" s="48"/>
      <c r="J72" s="48"/>
      <c r="K72" s="48"/>
      <c r="L72" s="48"/>
    </row>
    <row r="73" spans="1:12">
      <c r="A73" t="s">
        <v>33</v>
      </c>
      <c r="C73" s="1"/>
      <c r="D73" s="75">
        <f>D52</f>
        <v>0</v>
      </c>
      <c r="E73" s="75">
        <f t="shared" ref="E73:J73" si="49">E52</f>
        <v>0</v>
      </c>
      <c r="F73" s="75">
        <f t="shared" si="49"/>
        <v>0</v>
      </c>
      <c r="G73" s="75">
        <f t="shared" si="49"/>
        <v>0</v>
      </c>
      <c r="H73" s="75">
        <f>H52</f>
        <v>-715869.49023921881</v>
      </c>
      <c r="I73" s="75">
        <f t="shared" si="49"/>
        <v>-113154.68969692744</v>
      </c>
      <c r="J73" s="75">
        <f t="shared" si="49"/>
        <v>476604.94656832574</v>
      </c>
      <c r="K73" s="75">
        <f t="shared" ref="K73:L73" si="50">K52</f>
        <v>1146573.0102108738</v>
      </c>
      <c r="L73" s="75">
        <f t="shared" si="50"/>
        <v>1949437.1975256181</v>
      </c>
    </row>
    <row r="74" spans="1:12">
      <c r="A74" t="s">
        <v>2</v>
      </c>
      <c r="C74" s="1"/>
      <c r="D74" s="75">
        <f>D47</f>
        <v>0</v>
      </c>
      <c r="E74" s="75">
        <f t="shared" ref="E74:J74" si="51">E47</f>
        <v>0</v>
      </c>
      <c r="F74" s="75">
        <f t="shared" si="51"/>
        <v>0</v>
      </c>
      <c r="G74" s="75">
        <f t="shared" si="51"/>
        <v>0</v>
      </c>
      <c r="H74" s="75">
        <f t="shared" si="51"/>
        <v>2281438.0694147837</v>
      </c>
      <c r="I74" s="75">
        <f t="shared" si="51"/>
        <v>2281438.0694147837</v>
      </c>
      <c r="J74" s="75">
        <f t="shared" si="51"/>
        <v>2281438.0694147837</v>
      </c>
      <c r="K74" s="75">
        <f t="shared" ref="K74:L74" si="52">K47</f>
        <v>2281438.0694147837</v>
      </c>
      <c r="L74" s="75">
        <f t="shared" si="52"/>
        <v>2281438.0694147837</v>
      </c>
    </row>
    <row r="75" spans="1:12">
      <c r="A75" t="s">
        <v>34</v>
      </c>
      <c r="C75" s="1"/>
      <c r="D75" s="75">
        <f>C67-D67</f>
        <v>0</v>
      </c>
      <c r="E75" s="75">
        <f t="shared" ref="E75:J75" si="53">D67-E67</f>
        <v>0</v>
      </c>
      <c r="F75" s="75">
        <f t="shared" si="53"/>
        <v>0</v>
      </c>
      <c r="G75" s="75">
        <f t="shared" si="53"/>
        <v>0</v>
      </c>
      <c r="H75" s="75">
        <f t="shared" si="53"/>
        <v>-750000</v>
      </c>
      <c r="I75" s="75">
        <f t="shared" si="53"/>
        <v>-116250.00000000023</v>
      </c>
      <c r="J75" s="75">
        <f t="shared" si="53"/>
        <v>-134268.75</v>
      </c>
      <c r="K75" s="75">
        <f t="shared" ref="K75" si="54">J67-K67</f>
        <v>-155080.40625000023</v>
      </c>
      <c r="L75" s="75">
        <f t="shared" ref="L75" si="55">K67-L67</f>
        <v>-179117.86921875039</v>
      </c>
    </row>
    <row r="76" spans="1:12">
      <c r="A76" s="59" t="s">
        <v>35</v>
      </c>
      <c r="B76" s="60"/>
      <c r="C76" s="59"/>
      <c r="D76" s="78">
        <f>SUM(D73:D75)</f>
        <v>0</v>
      </c>
      <c r="E76" s="78">
        <f t="shared" ref="E76:J76" si="56">SUM(E73:E75)</f>
        <v>0</v>
      </c>
      <c r="F76" s="78">
        <f t="shared" si="56"/>
        <v>0</v>
      </c>
      <c r="G76" s="78">
        <f t="shared" si="56"/>
        <v>0</v>
      </c>
      <c r="H76" s="78">
        <f t="shared" si="56"/>
        <v>815568.57917556493</v>
      </c>
      <c r="I76" s="78">
        <f t="shared" si="56"/>
        <v>2052033.3797178559</v>
      </c>
      <c r="J76" s="78">
        <f t="shared" si="56"/>
        <v>2623774.2659831094</v>
      </c>
      <c r="K76" s="78">
        <f t="shared" ref="K76:L76" si="57">SUM(K73:K75)</f>
        <v>3272930.6733756578</v>
      </c>
      <c r="L76" s="78">
        <f t="shared" si="57"/>
        <v>4051757.3977216515</v>
      </c>
    </row>
    <row r="77" spans="1:12">
      <c r="D77" s="54"/>
      <c r="E77" s="54"/>
      <c r="F77" s="54"/>
      <c r="G77" s="54"/>
      <c r="H77" s="54"/>
      <c r="I77" s="54"/>
      <c r="J77" s="54"/>
      <c r="K77" s="54"/>
      <c r="L77" s="54"/>
    </row>
    <row r="78" spans="1:12">
      <c r="A78" s="92" t="s">
        <v>84</v>
      </c>
      <c r="B78" s="13"/>
      <c r="C78" s="17"/>
      <c r="D78" s="74">
        <f>C63-D63</f>
        <v>-1063829.7872340425</v>
      </c>
      <c r="E78" s="74">
        <f t="shared" ref="E78:J78" si="58">D63-E63</f>
        <v>-2195563.603440471</v>
      </c>
      <c r="F78" s="74">
        <f t="shared" si="58"/>
        <v>-4463365.5355749689</v>
      </c>
      <c r="G78" s="74">
        <f t="shared" si="58"/>
        <v>-3684431.4208244355</v>
      </c>
      <c r="H78" s="74">
        <f t="shared" si="58"/>
        <v>0</v>
      </c>
      <c r="I78" s="74">
        <f t="shared" si="58"/>
        <v>0</v>
      </c>
      <c r="J78" s="74">
        <f t="shared" si="58"/>
        <v>0</v>
      </c>
      <c r="K78" s="74">
        <f t="shared" ref="K78" si="59">J63-K63</f>
        <v>0</v>
      </c>
      <c r="L78" s="74">
        <f t="shared" ref="L78" si="60">K63-L63</f>
        <v>0</v>
      </c>
    </row>
    <row r="79" spans="1:12">
      <c r="A79" t="s">
        <v>36</v>
      </c>
      <c r="C79" s="1"/>
      <c r="D79" s="75">
        <f>D78</f>
        <v>-1063829.7872340425</v>
      </c>
      <c r="E79" s="75">
        <f t="shared" ref="E79:J79" si="61">E78</f>
        <v>-2195563.603440471</v>
      </c>
      <c r="F79" s="75">
        <f t="shared" si="61"/>
        <v>-4463365.5355749689</v>
      </c>
      <c r="G79" s="75">
        <f t="shared" si="61"/>
        <v>-3684431.4208244355</v>
      </c>
      <c r="H79" s="75">
        <f t="shared" si="61"/>
        <v>0</v>
      </c>
      <c r="I79" s="75">
        <f t="shared" si="61"/>
        <v>0</v>
      </c>
      <c r="J79" s="75">
        <f t="shared" si="61"/>
        <v>0</v>
      </c>
      <c r="K79" s="75">
        <f t="shared" ref="K79:L79" si="62">K78</f>
        <v>0</v>
      </c>
      <c r="L79" s="75">
        <f t="shared" si="62"/>
        <v>0</v>
      </c>
    </row>
    <row r="80" spans="1:12">
      <c r="C80" s="1"/>
      <c r="D80" s="56"/>
      <c r="E80" s="56"/>
      <c r="F80" s="56"/>
      <c r="G80" s="56"/>
      <c r="H80" s="56"/>
      <c r="I80" s="56"/>
      <c r="J80" s="56"/>
      <c r="K80" s="56"/>
      <c r="L80" s="56"/>
    </row>
    <row r="81" spans="1:12">
      <c r="A81" s="8" t="s">
        <v>85</v>
      </c>
      <c r="C81" s="1"/>
      <c r="D81" s="75">
        <f>D57-C57</f>
        <v>638297.8723404255</v>
      </c>
      <c r="E81" s="75">
        <f t="shared" ref="E81:J81" si="63">E57-D57</f>
        <v>1317338.1620642827</v>
      </c>
      <c r="F81" s="75">
        <f t="shared" si="63"/>
        <v>2678019.321344981</v>
      </c>
      <c r="G81" s="75">
        <f t="shared" si="63"/>
        <v>2210658.8524946608</v>
      </c>
      <c r="H81" s="75">
        <f t="shared" si="63"/>
        <v>0</v>
      </c>
      <c r="I81" s="75">
        <f t="shared" si="63"/>
        <v>0</v>
      </c>
      <c r="J81" s="75">
        <f t="shared" si="63"/>
        <v>0</v>
      </c>
      <c r="K81" s="75">
        <f t="shared" ref="K81:K82" si="64">K57-J57</f>
        <v>0</v>
      </c>
      <c r="L81" s="75">
        <f t="shared" ref="L81:L82" si="65">L57-K57</f>
        <v>-6844314.2082443498</v>
      </c>
    </row>
    <row r="82" spans="1:12">
      <c r="A82" s="8" t="s">
        <v>86</v>
      </c>
      <c r="C82" s="1"/>
      <c r="D82" s="75">
        <f>D58-C58</f>
        <v>425531.91489361704</v>
      </c>
      <c r="E82" s="75">
        <f t="shared" ref="E82:J82" si="66">E58-D58</f>
        <v>878225.44137618842</v>
      </c>
      <c r="F82" s="75">
        <f t="shared" si="66"/>
        <v>1785346.2142299877</v>
      </c>
      <c r="G82" s="75">
        <f t="shared" si="66"/>
        <v>1473772.5683297743</v>
      </c>
      <c r="H82" s="75">
        <f t="shared" si="66"/>
        <v>0</v>
      </c>
      <c r="I82" s="75">
        <f t="shared" si="66"/>
        <v>0</v>
      </c>
      <c r="J82" s="75">
        <f t="shared" si="66"/>
        <v>0</v>
      </c>
      <c r="K82" s="75">
        <f t="shared" si="64"/>
        <v>0</v>
      </c>
      <c r="L82" s="75">
        <f t="shared" si="65"/>
        <v>0</v>
      </c>
    </row>
    <row r="83" spans="1:12">
      <c r="A83" s="59" t="s">
        <v>37</v>
      </c>
      <c r="B83" s="60"/>
      <c r="C83" s="89"/>
      <c r="D83" s="90">
        <f>SUM(D81:D82)</f>
        <v>1063829.7872340425</v>
      </c>
      <c r="E83" s="90">
        <f t="shared" ref="E83:J83" si="67">SUM(E81:E82)</f>
        <v>2195563.603440471</v>
      </c>
      <c r="F83" s="90">
        <f t="shared" si="67"/>
        <v>4463365.5355749689</v>
      </c>
      <c r="G83" s="90">
        <f t="shared" si="67"/>
        <v>3684431.4208244351</v>
      </c>
      <c r="H83" s="90">
        <f t="shared" si="67"/>
        <v>0</v>
      </c>
      <c r="I83" s="90">
        <f t="shared" si="67"/>
        <v>0</v>
      </c>
      <c r="J83" s="90">
        <f t="shared" si="67"/>
        <v>0</v>
      </c>
      <c r="K83" s="90">
        <f t="shared" ref="K83:L83" si="68">SUM(K81:K82)</f>
        <v>0</v>
      </c>
      <c r="L83" s="90">
        <f t="shared" si="68"/>
        <v>-6844314.2082443498</v>
      </c>
    </row>
    <row r="84" spans="1:12">
      <c r="C84" s="1"/>
      <c r="D84" s="56"/>
      <c r="E84" s="56"/>
      <c r="F84" s="56"/>
      <c r="G84" s="56"/>
      <c r="H84" s="56"/>
      <c r="I84" s="56"/>
      <c r="J84" s="56"/>
      <c r="K84" s="56"/>
      <c r="L84" s="56"/>
    </row>
    <row r="85" spans="1:12">
      <c r="A85" s="24" t="s">
        <v>38</v>
      </c>
      <c r="B85" s="25"/>
      <c r="C85" s="26"/>
      <c r="D85" s="79">
        <f>D76+D79+D83</f>
        <v>0</v>
      </c>
      <c r="E85" s="79">
        <f t="shared" ref="E85:J85" si="69">E76+E79+E83</f>
        <v>0</v>
      </c>
      <c r="F85" s="79">
        <f t="shared" si="69"/>
        <v>0</v>
      </c>
      <c r="G85" s="79">
        <f t="shared" si="69"/>
        <v>0</v>
      </c>
      <c r="H85" s="79">
        <f t="shared" si="69"/>
        <v>815568.57917556493</v>
      </c>
      <c r="I85" s="79">
        <f t="shared" si="69"/>
        <v>2052033.3797178559</v>
      </c>
      <c r="J85" s="79">
        <f t="shared" si="69"/>
        <v>2623774.2659831094</v>
      </c>
      <c r="K85" s="79">
        <f t="shared" ref="K85:L85" si="70">K76+K79+K83</f>
        <v>3272930.6733756578</v>
      </c>
      <c r="L85" s="79">
        <f t="shared" si="70"/>
        <v>-2792556.8105226983</v>
      </c>
    </row>
    <row r="86" spans="1:12">
      <c r="C86" s="1"/>
      <c r="D86" s="56"/>
      <c r="E86" s="56"/>
      <c r="F86" s="56"/>
      <c r="G86" s="56"/>
      <c r="H86" s="56"/>
      <c r="I86" s="56"/>
      <c r="J86" s="56"/>
      <c r="K86" s="56"/>
      <c r="L86" s="56"/>
    </row>
    <row r="87" spans="1:12">
      <c r="A87" s="24" t="s">
        <v>39</v>
      </c>
      <c r="B87" s="25"/>
      <c r="C87" s="26"/>
      <c r="D87" s="79">
        <f>C88</f>
        <v>0</v>
      </c>
      <c r="E87" s="79">
        <f t="shared" ref="E87:J87" si="71">D88</f>
        <v>0</v>
      </c>
      <c r="F87" s="79">
        <f t="shared" si="71"/>
        <v>0</v>
      </c>
      <c r="G87" s="79">
        <f t="shared" si="71"/>
        <v>0</v>
      </c>
      <c r="H87" s="79">
        <f t="shared" si="71"/>
        <v>0</v>
      </c>
      <c r="I87" s="79">
        <f t="shared" si="71"/>
        <v>815568.57917556493</v>
      </c>
      <c r="J87" s="79">
        <f t="shared" si="71"/>
        <v>2867601.9588934211</v>
      </c>
      <c r="K87" s="79">
        <f t="shared" ref="K87" si="72">J88</f>
        <v>5491376.2248765305</v>
      </c>
      <c r="L87" s="79">
        <f t="shared" ref="L87" si="73">K88</f>
        <v>8764306.8982521892</v>
      </c>
    </row>
    <row r="88" spans="1:12" ht="15.75" thickBot="1">
      <c r="A88" s="27" t="s">
        <v>40</v>
      </c>
      <c r="B88" s="28"/>
      <c r="C88" s="29"/>
      <c r="D88" s="80">
        <f>D87+D85</f>
        <v>0</v>
      </c>
      <c r="E88" s="80">
        <f t="shared" ref="E88:J88" si="74">E87+E85</f>
        <v>0</v>
      </c>
      <c r="F88" s="80">
        <f t="shared" si="74"/>
        <v>0</v>
      </c>
      <c r="G88" s="80">
        <f t="shared" si="74"/>
        <v>0</v>
      </c>
      <c r="H88" s="80">
        <f t="shared" si="74"/>
        <v>815568.57917556493</v>
      </c>
      <c r="I88" s="80">
        <f t="shared" si="74"/>
        <v>2867601.9588934211</v>
      </c>
      <c r="J88" s="80">
        <f t="shared" si="74"/>
        <v>5491376.2248765305</v>
      </c>
      <c r="K88" s="80">
        <f t="shared" ref="K88:L88" si="75">K87+K85</f>
        <v>8764306.8982521892</v>
      </c>
      <c r="L88" s="80">
        <f t="shared" si="75"/>
        <v>5971750.0877294913</v>
      </c>
    </row>
    <row r="89" spans="1:12" ht="15.75" thickTop="1">
      <c r="D89" s="54"/>
      <c r="E89" s="54"/>
      <c r="F89" s="54"/>
      <c r="G89" s="54"/>
      <c r="H89" s="48"/>
      <c r="I89" s="48"/>
      <c r="J89" s="48"/>
      <c r="K89" s="48"/>
      <c r="L89" s="48"/>
    </row>
    <row r="90" spans="1:12" ht="15.75" thickBot="1">
      <c r="A90" s="38" t="s">
        <v>24</v>
      </c>
      <c r="B90" s="35"/>
      <c r="C90" s="36"/>
      <c r="D90" s="37"/>
      <c r="E90" s="37"/>
      <c r="F90" s="37"/>
      <c r="G90" s="37"/>
      <c r="H90" s="49"/>
      <c r="I90" s="49"/>
      <c r="J90" s="49"/>
      <c r="K90" s="49"/>
      <c r="L90" s="49"/>
    </row>
    <row r="91" spans="1:12">
      <c r="D91" s="54"/>
      <c r="E91" s="54"/>
      <c r="F91" s="54"/>
      <c r="G91" s="54"/>
      <c r="H91" s="48"/>
      <c r="I91" s="48"/>
      <c r="J91" s="48"/>
      <c r="K91" s="48"/>
      <c r="L91" s="48"/>
    </row>
    <row r="92" spans="1:12">
      <c r="A92" t="s">
        <v>41</v>
      </c>
      <c r="B92" s="4">
        <f>B22</f>
        <v>0.1</v>
      </c>
      <c r="D92" s="56"/>
      <c r="E92" s="56"/>
      <c r="F92" s="56"/>
      <c r="G92" s="56"/>
      <c r="H92" s="94">
        <f>$B$92*H27</f>
        <v>684431.42082443507</v>
      </c>
      <c r="I92" s="94">
        <f>$B$92*I27</f>
        <v>684431.42082443507</v>
      </c>
      <c r="J92" s="94">
        <f>$B$92*J27</f>
        <v>684431.42082443507</v>
      </c>
      <c r="K92" s="94">
        <f t="shared" ref="K92:L92" si="76">$B$92*K27</f>
        <v>684431.42082443507</v>
      </c>
      <c r="L92" s="94">
        <f t="shared" si="76"/>
        <v>684431.42082443507</v>
      </c>
    </row>
    <row r="93" spans="1:12">
      <c r="A93" s="11" t="s">
        <v>42</v>
      </c>
      <c r="B93" s="12">
        <v>7.0000000000000007E-2</v>
      </c>
      <c r="C93" s="11"/>
      <c r="D93" s="55"/>
      <c r="E93" s="55"/>
      <c r="F93" s="55"/>
      <c r="G93" s="55"/>
      <c r="H93" s="74">
        <f>H87*$B$93</f>
        <v>0</v>
      </c>
      <c r="I93" s="74">
        <f>I87*$B$93</f>
        <v>57089.800542289551</v>
      </c>
      <c r="J93" s="74">
        <f>J87*$B$93</f>
        <v>200732.13712253948</v>
      </c>
      <c r="K93" s="74">
        <f t="shared" ref="K93:L93" si="77">K87*$B$93</f>
        <v>384396.33574135718</v>
      </c>
      <c r="L93" s="74">
        <f t="shared" si="77"/>
        <v>613501.48287765332</v>
      </c>
    </row>
    <row r="94" spans="1:12">
      <c r="A94" t="s">
        <v>24</v>
      </c>
      <c r="B94" s="4"/>
      <c r="D94" s="56"/>
      <c r="E94" s="56"/>
      <c r="F94" s="56"/>
      <c r="G94" s="56"/>
      <c r="H94" s="75">
        <f>H92-H93</f>
        <v>684431.42082443507</v>
      </c>
      <c r="I94" s="75">
        <f>I92-I93</f>
        <v>627341.62028214557</v>
      </c>
      <c r="J94" s="75">
        <f>J92-J93</f>
        <v>483699.28370189562</v>
      </c>
      <c r="K94" s="75">
        <f t="shared" ref="K94:L94" si="78">K92-K93</f>
        <v>300035.08508307789</v>
      </c>
      <c r="L94" s="75">
        <f t="shared" si="78"/>
        <v>70929.937946781749</v>
      </c>
    </row>
    <row r="95" spans="1:12">
      <c r="D95" s="54"/>
      <c r="E95" s="54"/>
      <c r="F95" s="54"/>
      <c r="G95" s="54"/>
      <c r="H95" s="48"/>
      <c r="I95" s="48"/>
      <c r="J95" s="48"/>
      <c r="K95" s="48"/>
      <c r="L95" s="48"/>
    </row>
    <row r="96" spans="1:12" ht="15.75" thickBot="1">
      <c r="A96" s="38" t="s">
        <v>47</v>
      </c>
      <c r="B96" s="35"/>
      <c r="C96" s="36"/>
      <c r="D96" s="37"/>
      <c r="E96" s="37"/>
      <c r="F96" s="37"/>
      <c r="G96" s="37"/>
      <c r="H96" s="49"/>
      <c r="I96" s="49"/>
      <c r="J96" s="49"/>
      <c r="K96" s="49"/>
      <c r="L96" s="49"/>
    </row>
    <row r="97" spans="1:12">
      <c r="D97" s="54"/>
      <c r="E97" s="54"/>
      <c r="F97" s="54"/>
      <c r="G97" s="54"/>
      <c r="H97" s="48"/>
      <c r="I97" s="48"/>
      <c r="J97" s="48"/>
      <c r="K97" s="48"/>
      <c r="L97" s="48"/>
    </row>
    <row r="98" spans="1:12">
      <c r="A98" s="8" t="s">
        <v>87</v>
      </c>
      <c r="C98" s="2"/>
      <c r="D98" s="73">
        <f>D76+D79+D81</f>
        <v>-425531.91489361704</v>
      </c>
      <c r="E98" s="73">
        <f t="shared" ref="E98:J98" si="79">E76+E79+E81</f>
        <v>-878225.4413761883</v>
      </c>
      <c r="F98" s="73">
        <f t="shared" si="79"/>
        <v>-1785346.2142299879</v>
      </c>
      <c r="G98" s="73">
        <f t="shared" si="79"/>
        <v>-1473772.5683297748</v>
      </c>
      <c r="H98" s="73">
        <f t="shared" si="79"/>
        <v>815568.57917556493</v>
      </c>
      <c r="I98" s="73">
        <f t="shared" si="79"/>
        <v>2052033.3797178559</v>
      </c>
      <c r="J98" s="73">
        <f t="shared" si="79"/>
        <v>2623774.2659831094</v>
      </c>
      <c r="K98" s="73">
        <f t="shared" ref="K98:L98" si="80">K76+K79+K81</f>
        <v>3272930.6733756578</v>
      </c>
      <c r="L98" s="73">
        <f t="shared" si="80"/>
        <v>-2792556.8105226983</v>
      </c>
    </row>
    <row r="99" spans="1:12">
      <c r="B99" s="4"/>
      <c r="D99" s="1"/>
      <c r="E99" s="1"/>
      <c r="F99" s="1"/>
      <c r="G99" s="1"/>
      <c r="H99" s="1"/>
      <c r="I99" s="1"/>
      <c r="J99" s="1"/>
    </row>
    <row r="100" spans="1:12" ht="15.75" thickBot="1">
      <c r="A100" s="38" t="s">
        <v>48</v>
      </c>
      <c r="B100" s="35"/>
      <c r="C100" s="36"/>
      <c r="D100" s="36"/>
      <c r="E100" s="36"/>
      <c r="F100" s="36"/>
      <c r="G100" s="36"/>
      <c r="H100" s="37"/>
      <c r="I100" s="37"/>
      <c r="J100" s="37"/>
    </row>
    <row r="101" spans="1:12">
      <c r="C101" s="30"/>
      <c r="G101" s="109" t="s">
        <v>52</v>
      </c>
      <c r="H101" s="109"/>
      <c r="I101" s="109"/>
      <c r="J101" s="109"/>
      <c r="K101" s="109"/>
      <c r="L101" s="109"/>
    </row>
    <row r="102" spans="1:12">
      <c r="A102" s="52" t="s">
        <v>49</v>
      </c>
      <c r="B102" s="91">
        <v>0.15</v>
      </c>
      <c r="C102" s="83">
        <f>NPV(B102,D98:L98)</f>
        <v>-495506.50315883046</v>
      </c>
      <c r="G102" s="85">
        <f>C103</f>
        <v>8.9378544974017538E-2</v>
      </c>
      <c r="H102" s="31">
        <v>1425</v>
      </c>
      <c r="I102" s="31">
        <f>H102+75</f>
        <v>1500</v>
      </c>
      <c r="J102" s="31">
        <f t="shared" ref="J102:L102" si="81">I102+200</f>
        <v>1700</v>
      </c>
      <c r="K102" s="31">
        <f t="shared" si="81"/>
        <v>1900</v>
      </c>
      <c r="L102" s="31">
        <f t="shared" si="81"/>
        <v>2100</v>
      </c>
    </row>
    <row r="103" spans="1:12">
      <c r="A103" s="53" t="s">
        <v>50</v>
      </c>
      <c r="B103" s="105"/>
      <c r="C103" s="84">
        <f>IRR(D98:L98)</f>
        <v>8.9378544974017538E-2</v>
      </c>
      <c r="G103" s="32">
        <v>0.03</v>
      </c>
      <c r="H103" s="86">
        <f t="dataTable" ref="H103:L107" dt2D="1" dtr="1" r1="B35" r2="B37"/>
        <v>-8.7363582021828604E-2</v>
      </c>
      <c r="I103" s="86">
        <v>6.3966544241566226E-2</v>
      </c>
      <c r="J103" s="86">
        <v>0.23363721802772541</v>
      </c>
      <c r="K103" s="86">
        <v>0.33248033063325061</v>
      </c>
      <c r="L103" s="86">
        <v>0.41040200394205406</v>
      </c>
    </row>
    <row r="104" spans="1:12">
      <c r="G104" s="32">
        <f>G103+2%</f>
        <v>0.05</v>
      </c>
      <c r="H104" s="86">
        <v>-2.7295178198705822E-2</v>
      </c>
      <c r="I104" s="86">
        <v>8.9378544974017538E-2</v>
      </c>
      <c r="J104" s="86">
        <v>0.24870930517763257</v>
      </c>
      <c r="K104" s="86">
        <v>0.34553919227343882</v>
      </c>
      <c r="L104" s="86">
        <v>0.42252372381908154</v>
      </c>
    </row>
    <row r="105" spans="1:12">
      <c r="A105" s="9" t="s">
        <v>106</v>
      </c>
      <c r="G105" s="32">
        <f t="shared" ref="G105:G107" si="82">G104+2%</f>
        <v>7.0000000000000007E-2</v>
      </c>
      <c r="H105" s="86">
        <v>1.1158180940516021E-2</v>
      </c>
      <c r="I105" s="86">
        <v>0.11199724786942886</v>
      </c>
      <c r="J105" s="86">
        <v>0.26322717055446843</v>
      </c>
      <c r="K105" s="86">
        <v>0.3583086790008192</v>
      </c>
      <c r="L105" s="86">
        <v>0.43445699825132644</v>
      </c>
    </row>
    <row r="106" spans="1:12">
      <c r="G106" s="32">
        <f t="shared" si="82"/>
        <v>9.0000000000000011E-2</v>
      </c>
      <c r="H106" s="86">
        <v>4.1571202857377032E-2</v>
      </c>
      <c r="I106" s="86">
        <v>0.13260111507748926</v>
      </c>
      <c r="J106" s="86">
        <v>0.27726301186257785</v>
      </c>
      <c r="K106" s="86">
        <v>0.37081569695355282</v>
      </c>
      <c r="L106" s="86">
        <v>0.44621561785436009</v>
      </c>
    </row>
    <row r="107" spans="1:12">
      <c r="G107" s="32">
        <f t="shared" si="82"/>
        <v>0.11000000000000001</v>
      </c>
      <c r="H107" s="86">
        <v>6.7479803757744525E-2</v>
      </c>
      <c r="I107" s="86">
        <v>0.150974365085982</v>
      </c>
      <c r="J107" s="86">
        <v>0.29087514567547679</v>
      </c>
      <c r="K107" s="86">
        <v>0.3830833133714811</v>
      </c>
      <c r="L107" s="86">
        <v>0.45781175041883487</v>
      </c>
    </row>
    <row r="109" spans="1:12" ht="15.75" thickBot="1">
      <c r="A109" s="33"/>
      <c r="B109" s="34"/>
      <c r="C109" s="33"/>
      <c r="D109" s="33"/>
      <c r="E109" s="33"/>
      <c r="F109" s="33"/>
      <c r="G109" s="33"/>
      <c r="H109" s="33"/>
      <c r="I109" s="33"/>
      <c r="J109" s="33"/>
      <c r="K109" s="33"/>
      <c r="L109" s="33"/>
    </row>
  </sheetData>
  <mergeCells count="3">
    <mergeCell ref="H4:L4"/>
    <mergeCell ref="C4:G4"/>
    <mergeCell ref="G101:L101"/>
  </mergeCells>
  <conditionalFormatting sqref="H103:L107">
    <cfRule type="cellIs" dxfId="0" priority="1" operator="lessThan">
      <formula>0.15</formula>
    </cfRule>
  </conditionalFormatting>
  <pageMargins left="0.7" right="0.7" top="0.75" bottom="0.75" header="0.3" footer="0.3"/>
  <pageSetup orientation="portrait" horizontalDpi="300" verticalDpi="300" r:id="rId1"/>
  <drawing r:id="rId2"/>
  <legacyDrawing r:id="rId3"/>
</worksheet>
</file>

<file path=xl/worksheets/sheet3.xml><?xml version="1.0" encoding="utf-8"?>
<worksheet xmlns="http://schemas.openxmlformats.org/spreadsheetml/2006/main" xmlns:r="http://schemas.openxmlformats.org/officeDocument/2006/relationships">
  <sheetPr codeName="Sheet4"/>
  <dimension ref="A2:H20"/>
  <sheetViews>
    <sheetView zoomScale="160" zoomScaleNormal="160" zoomScalePageLayoutView="160" workbookViewId="0">
      <selection activeCell="B12" sqref="B12:H19"/>
    </sheetView>
  </sheetViews>
  <sheetFormatPr defaultColWidth="8.85546875" defaultRowHeight="15"/>
  <cols>
    <col min="2" max="4" width="10.140625" bestFit="1" customWidth="1"/>
    <col min="5" max="8" width="11.42578125" bestFit="1" customWidth="1"/>
  </cols>
  <sheetData>
    <row r="2" spans="1:8">
      <c r="B2" t="s">
        <v>89</v>
      </c>
    </row>
    <row r="3" spans="1:8">
      <c r="B3" t="s">
        <v>91</v>
      </c>
    </row>
    <row r="4" spans="1:8">
      <c r="B4" t="s">
        <v>90</v>
      </c>
    </row>
    <row r="6" spans="1:8">
      <c r="B6" t="s">
        <v>12</v>
      </c>
      <c r="D6" t="s">
        <v>92</v>
      </c>
    </row>
    <row r="10" spans="1:8">
      <c r="A10" s="9" t="s">
        <v>93</v>
      </c>
    </row>
    <row r="11" spans="1:8">
      <c r="B11" s="95" t="s">
        <v>98</v>
      </c>
      <c r="C11" s="95" t="s">
        <v>99</v>
      </c>
      <c r="D11" s="95" t="s">
        <v>100</v>
      </c>
      <c r="E11" s="95" t="s">
        <v>101</v>
      </c>
      <c r="F11" s="95" t="s">
        <v>102</v>
      </c>
      <c r="G11" s="95" t="s">
        <v>103</v>
      </c>
      <c r="H11" s="95" t="s">
        <v>104</v>
      </c>
    </row>
    <row r="12" spans="1:8">
      <c r="A12" t="s">
        <v>89</v>
      </c>
      <c r="B12" s="97">
        <v>100</v>
      </c>
      <c r="C12" s="97">
        <f t="shared" ref="C12:H12" si="0">B12</f>
        <v>100</v>
      </c>
      <c r="D12" s="97">
        <f t="shared" si="0"/>
        <v>100</v>
      </c>
      <c r="E12" s="97">
        <f t="shared" si="0"/>
        <v>100</v>
      </c>
      <c r="F12" s="97">
        <f t="shared" si="0"/>
        <v>100</v>
      </c>
      <c r="G12" s="97">
        <f t="shared" si="0"/>
        <v>100</v>
      </c>
      <c r="H12" s="97">
        <f t="shared" si="0"/>
        <v>100</v>
      </c>
    </row>
    <row r="13" spans="1:8">
      <c r="A13" t="s">
        <v>94</v>
      </c>
      <c r="B13" s="97">
        <v>0</v>
      </c>
      <c r="C13" s="97">
        <f t="shared" ref="C13:H13" si="1">B18</f>
        <v>5</v>
      </c>
      <c r="D13" s="97">
        <f t="shared" si="1"/>
        <v>5.25</v>
      </c>
      <c r="E13" s="97">
        <f t="shared" si="1"/>
        <v>5.2625000000000002</v>
      </c>
      <c r="F13" s="97">
        <f t="shared" si="1"/>
        <v>5.2631250000000005</v>
      </c>
      <c r="G13" s="97">
        <f t="shared" si="1"/>
        <v>5.2631562500000006</v>
      </c>
      <c r="H13" s="97">
        <f t="shared" si="1"/>
        <v>5.2631578125000003</v>
      </c>
    </row>
    <row r="14" spans="1:8">
      <c r="A14" t="s">
        <v>90</v>
      </c>
      <c r="B14" s="97">
        <f t="shared" ref="B14:H14" si="2">SUM(B12:B13)</f>
        <v>100</v>
      </c>
      <c r="C14" s="97">
        <f t="shared" si="2"/>
        <v>105</v>
      </c>
      <c r="D14" s="97">
        <f t="shared" si="2"/>
        <v>105.25</v>
      </c>
      <c r="E14" s="97">
        <f t="shared" si="2"/>
        <v>105.2625</v>
      </c>
      <c r="F14" s="97">
        <f t="shared" si="2"/>
        <v>105.263125</v>
      </c>
      <c r="G14" s="97">
        <f t="shared" si="2"/>
        <v>105.26315624999999</v>
      </c>
      <c r="H14" s="97">
        <f t="shared" si="2"/>
        <v>105.2631578125</v>
      </c>
    </row>
    <row r="15" spans="1:8">
      <c r="B15" s="97"/>
      <c r="C15" s="97"/>
      <c r="D15" s="97"/>
      <c r="E15" s="97"/>
      <c r="F15" s="97"/>
      <c r="G15" s="97"/>
      <c r="H15" s="97"/>
    </row>
    <row r="16" spans="1:8">
      <c r="A16" t="s">
        <v>95</v>
      </c>
      <c r="B16" s="97">
        <f t="shared" ref="B16:H16" si="3">B14*0.5</f>
        <v>50</v>
      </c>
      <c r="C16" s="97">
        <f t="shared" si="3"/>
        <v>52.5</v>
      </c>
      <c r="D16" s="97">
        <f t="shared" si="3"/>
        <v>52.625</v>
      </c>
      <c r="E16" s="97">
        <f t="shared" si="3"/>
        <v>52.631250000000001</v>
      </c>
      <c r="F16" s="97">
        <f t="shared" si="3"/>
        <v>52.631562500000001</v>
      </c>
      <c r="G16" s="97">
        <f t="shared" si="3"/>
        <v>52.631578124999997</v>
      </c>
      <c r="H16" s="97">
        <f t="shared" si="3"/>
        <v>52.631578906249999</v>
      </c>
    </row>
    <row r="17" spans="1:8">
      <c r="B17" s="97"/>
      <c r="C17" s="97"/>
      <c r="D17" s="97"/>
      <c r="E17" s="97"/>
      <c r="F17" s="97"/>
      <c r="G17" s="97"/>
      <c r="H17" s="97"/>
    </row>
    <row r="18" spans="1:8">
      <c r="A18" t="s">
        <v>96</v>
      </c>
      <c r="B18" s="97">
        <f t="shared" ref="B18:H18" si="4">B16*0.1</f>
        <v>5</v>
      </c>
      <c r="C18" s="97">
        <f t="shared" si="4"/>
        <v>5.25</v>
      </c>
      <c r="D18" s="97">
        <f t="shared" si="4"/>
        <v>5.2625000000000002</v>
      </c>
      <c r="E18" s="97">
        <f t="shared" si="4"/>
        <v>5.2631250000000005</v>
      </c>
      <c r="F18" s="97">
        <f t="shared" si="4"/>
        <v>5.2631562500000006</v>
      </c>
      <c r="G18" s="97">
        <f t="shared" si="4"/>
        <v>5.2631578125000003</v>
      </c>
      <c r="H18" s="97">
        <f t="shared" si="4"/>
        <v>5.2631578906250001</v>
      </c>
    </row>
    <row r="20" spans="1:8" s="41" customFormat="1">
      <c r="A20" s="41" t="s">
        <v>97</v>
      </c>
      <c r="B20" s="41">
        <f t="shared" ref="B20:H20" si="5">B18-B13</f>
        <v>5</v>
      </c>
      <c r="C20" s="41">
        <f t="shared" si="5"/>
        <v>0.25</v>
      </c>
      <c r="D20" s="41">
        <f t="shared" si="5"/>
        <v>1.2500000000000178E-2</v>
      </c>
      <c r="E20" s="96">
        <f t="shared" si="5"/>
        <v>6.2500000000031974E-4</v>
      </c>
      <c r="F20" s="96">
        <f t="shared" si="5"/>
        <v>3.1250000000149214E-5</v>
      </c>
      <c r="G20" s="96">
        <f t="shared" si="5"/>
        <v>1.5624999996077804E-6</v>
      </c>
      <c r="H20" s="96">
        <f t="shared" si="5"/>
        <v>7.8124999802753337E-8</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Directions to Solve the case</vt:lpstr>
      <vt:lpstr>Assignment</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Hemant</dc:creator>
  <cp:lastModifiedBy>Vijay</cp:lastModifiedBy>
  <dcterms:created xsi:type="dcterms:W3CDTF">2009-12-17T05:58:20Z</dcterms:created>
  <dcterms:modified xsi:type="dcterms:W3CDTF">2017-11-01T01:12:22Z</dcterms:modified>
</cp:coreProperties>
</file>