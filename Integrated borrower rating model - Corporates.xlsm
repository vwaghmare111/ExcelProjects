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D:\11 Personal projects\06 Excel\"/>
    </mc:Choice>
  </mc:AlternateContent>
  <xr:revisionPtr revIDLastSave="0" documentId="13_ncr:1_{7B801391-770C-4D30-91F1-12B6F411C42E}" xr6:coauthVersionLast="45" xr6:coauthVersionMax="45" xr10:uidLastSave="{00000000-0000-0000-0000-000000000000}"/>
  <bookViews>
    <workbookView xWindow="-108" yWindow="-108" windowWidth="23256" windowHeight="12576" tabRatio="975" firstSheet="1" activeTab="1" xr2:uid="{00000000-000D-0000-FFFF-FFFF00000000}"/>
  </bookViews>
  <sheets>
    <sheet name="Instructions" sheetId="29" r:id="rId1"/>
    <sheet name="Cover page" sheetId="16" r:id="rId2"/>
    <sheet name="Balance Sheet" sheetId="15" r:id="rId3"/>
    <sheet name="Income Statement" sheetId="17" r:id="rId4"/>
    <sheet name="Cashflow Statement" sheetId="18" r:id="rId5"/>
    <sheet name="Ratio Analysis" sheetId="13" r:id="rId6"/>
    <sheet name="Financial strength" sheetId="11" r:id="rId7"/>
    <sheet name="Business performance - Manu" sheetId="6" r:id="rId8"/>
    <sheet name="Mgt Eval &amp; Conduct of ac_Manu" sheetId="8" r:id="rId9"/>
    <sheet name="Rating worksheet_Manufacturing" sheetId="10" r:id="rId10"/>
    <sheet name="Business performance - Trad" sheetId="23" state="hidden" r:id="rId11"/>
    <sheet name="Mgt Eval &amp; Conduct of ac_Trad" sheetId="24" state="hidden" r:id="rId12"/>
    <sheet name="Rating worksheet_Trading" sheetId="25" state="hidden" r:id="rId13"/>
    <sheet name="Business performance - Serv" sheetId="20" state="hidden" r:id="rId14"/>
    <sheet name="Mgt Eval &amp; Conduct of ac_Serv" sheetId="21" state="hidden" r:id="rId15"/>
    <sheet name="Rating worksheet_Service" sheetId="22" state="hidden" r:id="rId16"/>
  </sheets>
  <definedNames>
    <definedName name="_xlnm._FilterDatabase" localSheetId="2" hidden="1">'Balance Sheet'!$A$7:$W$78</definedName>
    <definedName name="_xlnm.Print_Area" localSheetId="2">'Balance Sheet'!$A$1:$Q$78</definedName>
    <definedName name="_xlnm.Print_Area" localSheetId="7">'Business performance - Manu'!$A$1:$C$35</definedName>
    <definedName name="_xlnm.Print_Area" localSheetId="13">'Business performance - Serv'!$A$1:$C$41</definedName>
    <definedName name="_xlnm.Print_Area" localSheetId="10">'Business performance - Trad'!$A$1:$C$26</definedName>
    <definedName name="_xlnm.Print_Area" localSheetId="4">'Cashflow Statement'!$A$1:$F$59</definedName>
    <definedName name="_xlnm.Print_Area" localSheetId="6">'Financial strength'!$A$1:$J$45</definedName>
    <definedName name="_xlnm.Print_Area" localSheetId="3">'Income Statement'!$A$1:$U$31</definedName>
    <definedName name="_xlnm.Print_Area" localSheetId="5">'Ratio Analysis'!$A$1:$O$41</definedName>
    <definedName name="_xlnm.Print_Titles" localSheetId="2">'Balance Sheet'!$1:$7</definedName>
    <definedName name="_xlnm.Print_Titles" localSheetId="4">'Cashflow Statement'!$1:$7</definedName>
    <definedName name="_xlnm.Print_Titles" localSheetId="3">'Income Statement'!$1:$7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 i="17" l="1"/>
  <c r="A37" i="13"/>
  <c r="U37" i="15"/>
  <c r="V37" i="15"/>
  <c r="W37" i="15"/>
  <c r="T37" i="15"/>
  <c r="E3" i="17"/>
  <c r="E3" i="18" s="1"/>
  <c r="I11" i="16"/>
  <c r="B7" i="15" s="1"/>
  <c r="T30" i="17"/>
  <c r="S30" i="17"/>
  <c r="R30" i="17"/>
  <c r="T29" i="17"/>
  <c r="S29" i="17"/>
  <c r="R29" i="17"/>
  <c r="T28" i="17"/>
  <c r="S28" i="17"/>
  <c r="R28" i="17"/>
  <c r="T26" i="17"/>
  <c r="S26" i="17"/>
  <c r="R26" i="17"/>
  <c r="T24" i="17"/>
  <c r="S24" i="17"/>
  <c r="R24" i="17"/>
  <c r="T23" i="17"/>
  <c r="S23" i="17"/>
  <c r="R23" i="17"/>
  <c r="T22" i="17"/>
  <c r="S22" i="17"/>
  <c r="R22" i="17"/>
  <c r="T21" i="17"/>
  <c r="S21" i="17"/>
  <c r="R21" i="17"/>
  <c r="T18" i="17"/>
  <c r="S18" i="17"/>
  <c r="R18" i="17"/>
  <c r="T17" i="17"/>
  <c r="S17" i="17"/>
  <c r="R17" i="17"/>
  <c r="T16" i="17"/>
  <c r="S16" i="17"/>
  <c r="R16" i="17"/>
  <c r="T15" i="17"/>
  <c r="S15" i="17"/>
  <c r="R15" i="17"/>
  <c r="T14" i="17"/>
  <c r="S14" i="17"/>
  <c r="R14" i="17"/>
  <c r="T13" i="17"/>
  <c r="S13" i="17"/>
  <c r="R13" i="17"/>
  <c r="T12" i="17"/>
  <c r="S12" i="17"/>
  <c r="R12" i="17"/>
  <c r="T10" i="17"/>
  <c r="S10" i="17"/>
  <c r="R10" i="17"/>
  <c r="T9" i="17"/>
  <c r="S9" i="17"/>
  <c r="R9" i="17"/>
  <c r="S8" i="17"/>
  <c r="T8" i="17"/>
  <c r="R8" i="17"/>
  <c r="P58" i="15"/>
  <c r="O58" i="15"/>
  <c r="N58" i="15"/>
  <c r="P74" i="15"/>
  <c r="O74" i="15"/>
  <c r="N74" i="15"/>
  <c r="P71" i="15"/>
  <c r="O71" i="15"/>
  <c r="N71" i="15"/>
  <c r="P70" i="15"/>
  <c r="O70" i="15"/>
  <c r="N70" i="15"/>
  <c r="P69" i="15"/>
  <c r="O69" i="15"/>
  <c r="N69" i="15"/>
  <c r="P68" i="15"/>
  <c r="O68" i="15"/>
  <c r="N68" i="15"/>
  <c r="P67" i="15"/>
  <c r="O67" i="15"/>
  <c r="N67" i="15"/>
  <c r="P66" i="15"/>
  <c r="O66" i="15"/>
  <c r="N66" i="15"/>
  <c r="P65" i="15"/>
  <c r="O65" i="15"/>
  <c r="N65" i="15"/>
  <c r="P63" i="15"/>
  <c r="O63" i="15"/>
  <c r="N63" i="15"/>
  <c r="P62" i="15"/>
  <c r="O62" i="15"/>
  <c r="N62" i="15"/>
  <c r="P61" i="15"/>
  <c r="O61" i="15"/>
  <c r="N61" i="15"/>
  <c r="P60" i="15"/>
  <c r="O60" i="15"/>
  <c r="N60" i="15"/>
  <c r="P59" i="15"/>
  <c r="O59" i="15"/>
  <c r="N59" i="15"/>
  <c r="P57" i="15"/>
  <c r="O57" i="15"/>
  <c r="N57" i="15"/>
  <c r="P56" i="15"/>
  <c r="O56" i="15"/>
  <c r="N56" i="15"/>
  <c r="P54" i="15"/>
  <c r="P53" i="15"/>
  <c r="O53" i="15"/>
  <c r="N53" i="15"/>
  <c r="P52" i="15"/>
  <c r="O52" i="15"/>
  <c r="N52" i="15"/>
  <c r="P51" i="15"/>
  <c r="O51" i="15"/>
  <c r="N51" i="15"/>
  <c r="P50" i="15"/>
  <c r="O50" i="15"/>
  <c r="N50" i="15"/>
  <c r="P48" i="15"/>
  <c r="O48" i="15"/>
  <c r="N48" i="15"/>
  <c r="P47" i="15"/>
  <c r="O47" i="15"/>
  <c r="N47" i="15"/>
  <c r="P46" i="15"/>
  <c r="O46" i="15"/>
  <c r="N46" i="15"/>
  <c r="P39" i="15"/>
  <c r="O39" i="15"/>
  <c r="N39" i="15"/>
  <c r="P38" i="15"/>
  <c r="O38" i="15"/>
  <c r="N38" i="15"/>
  <c r="P37" i="15"/>
  <c r="O37" i="15"/>
  <c r="N37" i="15"/>
  <c r="P36" i="15"/>
  <c r="O36" i="15"/>
  <c r="N36" i="15"/>
  <c r="P35" i="15"/>
  <c r="O35" i="15"/>
  <c r="N35" i="15"/>
  <c r="P34" i="15"/>
  <c r="O34" i="15"/>
  <c r="N34" i="15"/>
  <c r="P33" i="15"/>
  <c r="O33" i="15"/>
  <c r="N33" i="15"/>
  <c r="P25" i="15"/>
  <c r="O25" i="15"/>
  <c r="N25" i="15"/>
  <c r="P22" i="15"/>
  <c r="O22" i="15"/>
  <c r="N22" i="15"/>
  <c r="P21" i="15"/>
  <c r="O21" i="15"/>
  <c r="N21" i="15"/>
  <c r="P20" i="15"/>
  <c r="O20" i="15"/>
  <c r="N20" i="15"/>
  <c r="P19" i="15"/>
  <c r="O19" i="15"/>
  <c r="N19" i="15"/>
  <c r="P18" i="15"/>
  <c r="O18" i="15"/>
  <c r="N18" i="15"/>
  <c r="N11" i="15"/>
  <c r="O11" i="15"/>
  <c r="P11" i="15"/>
  <c r="O10" i="15"/>
  <c r="P10" i="15"/>
  <c r="N10" i="15"/>
  <c r="A42" i="13"/>
  <c r="C7" i="15" l="1"/>
  <c r="D7" i="15" s="1"/>
  <c r="E7" i="15" s="1"/>
  <c r="A39" i="13" l="1"/>
  <c r="I44" i="13"/>
  <c r="T70" i="15"/>
  <c r="U70" i="15"/>
  <c r="V70" i="15"/>
  <c r="W70" i="15"/>
  <c r="T48" i="15"/>
  <c r="U48" i="15"/>
  <c r="V48" i="15"/>
  <c r="W48" i="15"/>
  <c r="H16" i="17"/>
  <c r="I16" i="17"/>
  <c r="J16" i="17"/>
  <c r="K16" i="17"/>
  <c r="L16" i="17"/>
  <c r="H17" i="17"/>
  <c r="I17" i="17"/>
  <c r="J17" i="17"/>
  <c r="K17" i="17"/>
  <c r="L17" i="17"/>
  <c r="N54" i="15" l="1"/>
  <c r="O54" i="15"/>
  <c r="I7" i="15"/>
  <c r="E7" i="17"/>
  <c r="E7" i="18" s="1"/>
  <c r="H7" i="15"/>
  <c r="S7" i="15" s="1"/>
  <c r="J7" i="15"/>
  <c r="B7" i="17"/>
  <c r="D7" i="17"/>
  <c r="K7" i="15"/>
  <c r="C7" i="17"/>
  <c r="F7" i="15"/>
  <c r="E15" i="18" l="1"/>
  <c r="E38" i="18" s="1"/>
  <c r="V7" i="15"/>
  <c r="P7" i="15"/>
  <c r="T7" i="15"/>
  <c r="N7" i="15"/>
  <c r="U7" i="15"/>
  <c r="O7" i="15"/>
  <c r="E51" i="18"/>
  <c r="E50" i="18"/>
  <c r="E42" i="18"/>
  <c r="E54" i="18"/>
  <c r="E14" i="18"/>
  <c r="E55" i="18"/>
  <c r="E30" i="18"/>
  <c r="E31" i="18"/>
  <c r="E13" i="18"/>
  <c r="F7" i="13"/>
  <c r="K7" i="17"/>
  <c r="T7" i="17" s="1"/>
  <c r="C7" i="18"/>
  <c r="I7" i="17"/>
  <c r="R7" i="17" s="1"/>
  <c r="B7" i="18"/>
  <c r="C7" i="13" s="1"/>
  <c r="C13" i="13" s="1"/>
  <c r="H7" i="17"/>
  <c r="D7" i="18"/>
  <c r="J7" i="17"/>
  <c r="S7" i="17" s="1"/>
  <c r="L7" i="15"/>
  <c r="F7" i="17"/>
  <c r="C11" i="13" l="1"/>
  <c r="C9" i="13"/>
  <c r="D15" i="18"/>
  <c r="D38" i="18" s="1"/>
  <c r="C15" i="18"/>
  <c r="C38" i="18" s="1"/>
  <c r="W7" i="15"/>
  <c r="Q7" i="15"/>
  <c r="D51" i="18"/>
  <c r="C51" i="18"/>
  <c r="C47" i="13"/>
  <c r="C46" i="13"/>
  <c r="C48" i="13"/>
  <c r="D50" i="18"/>
  <c r="C50" i="18"/>
  <c r="D54" i="18"/>
  <c r="C54" i="18"/>
  <c r="D42" i="18"/>
  <c r="C42" i="18"/>
  <c r="D14" i="18"/>
  <c r="C14" i="18"/>
  <c r="E7" i="13"/>
  <c r="D55" i="18"/>
  <c r="D30" i="18"/>
  <c r="D31" i="18"/>
  <c r="D13" i="18"/>
  <c r="C35" i="13"/>
  <c r="C41" i="13"/>
  <c r="C55" i="18"/>
  <c r="C31" i="18"/>
  <c r="C30" i="18"/>
  <c r="C13" i="18"/>
  <c r="D7" i="13"/>
  <c r="F35" i="13"/>
  <c r="F41" i="13"/>
  <c r="L7" i="17"/>
  <c r="U7" i="17" s="1"/>
  <c r="F7" i="18"/>
  <c r="D9" i="13" l="1"/>
  <c r="D11" i="13"/>
  <c r="F15" i="18"/>
  <c r="F38" i="18" s="1"/>
  <c r="U30" i="17"/>
  <c r="U29" i="17"/>
  <c r="U28" i="17"/>
  <c r="U26" i="17"/>
  <c r="U24" i="17"/>
  <c r="U23" i="17"/>
  <c r="U22" i="17"/>
  <c r="U21" i="17"/>
  <c r="U18" i="17"/>
  <c r="U17" i="17"/>
  <c r="U16" i="17"/>
  <c r="U15" i="17"/>
  <c r="U14" i="17"/>
  <c r="U13" i="17"/>
  <c r="U12" i="17"/>
  <c r="U10" i="17"/>
  <c r="U9" i="17"/>
  <c r="U8" i="17"/>
  <c r="Q58" i="15"/>
  <c r="Q10" i="15"/>
  <c r="Q74" i="15"/>
  <c r="Q71" i="15"/>
  <c r="Q70" i="15"/>
  <c r="Q69" i="15"/>
  <c r="Q68" i="15"/>
  <c r="Q67" i="15"/>
  <c r="Q66" i="15"/>
  <c r="Q65" i="15"/>
  <c r="Q63" i="15"/>
  <c r="Q62" i="15"/>
  <c r="Q61" i="15"/>
  <c r="Q60" i="15"/>
  <c r="Q59" i="15"/>
  <c r="Q57" i="15"/>
  <c r="Q56" i="15"/>
  <c r="Q54" i="15"/>
  <c r="Q53" i="15"/>
  <c r="Q52" i="15"/>
  <c r="Q51" i="15"/>
  <c r="Q50" i="15"/>
  <c r="Q48" i="15"/>
  <c r="Q47" i="15"/>
  <c r="Q46" i="15"/>
  <c r="Q39" i="15"/>
  <c r="Q38" i="15"/>
  <c r="Q37" i="15"/>
  <c r="Q36" i="15"/>
  <c r="Q35" i="15"/>
  <c r="Q34" i="15"/>
  <c r="Q33" i="15"/>
  <c r="Q25" i="15"/>
  <c r="Q22" i="15"/>
  <c r="Q21" i="15"/>
  <c r="Q20" i="15"/>
  <c r="Q19" i="15"/>
  <c r="Q18" i="15"/>
  <c r="Q11" i="15"/>
  <c r="F51" i="18"/>
  <c r="F50" i="18"/>
  <c r="F54" i="18"/>
  <c r="F42" i="18"/>
  <c r="G7" i="13"/>
  <c r="F14" i="18"/>
  <c r="D35" i="13"/>
  <c r="D41" i="13"/>
  <c r="D42" i="13" s="1"/>
  <c r="E41" i="13"/>
  <c r="F42" i="13" s="1"/>
  <c r="E35" i="13"/>
  <c r="F30" i="18"/>
  <c r="F55" i="18"/>
  <c r="F31" i="18"/>
  <c r="F13" i="18"/>
  <c r="E42" i="13" l="1"/>
  <c r="C43" i="11" s="1"/>
  <c r="C39" i="11"/>
  <c r="G41" i="13"/>
  <c r="G42" i="13" s="1"/>
  <c r="G35" i="13"/>
  <c r="J9" i="16" l="1"/>
  <c r="H18" i="17"/>
  <c r="I18" i="17"/>
  <c r="J18" i="17"/>
  <c r="K18" i="17"/>
  <c r="L18" i="17"/>
  <c r="O18" i="17"/>
  <c r="F6" i="17"/>
  <c r="E6" i="17"/>
  <c r="D6" i="17"/>
  <c r="C6" i="17"/>
  <c r="B6" i="17"/>
  <c r="B4" i="17"/>
  <c r="F64" i="15"/>
  <c r="E64" i="15"/>
  <c r="D64" i="15"/>
  <c r="C64" i="15"/>
  <c r="B64" i="15"/>
  <c r="N64" i="15" l="1"/>
  <c r="P64" i="15"/>
  <c r="Q64" i="15"/>
  <c r="O64" i="15"/>
  <c r="C27" i="13"/>
  <c r="G28" i="13"/>
  <c r="D27" i="13"/>
  <c r="F27" i="13"/>
  <c r="E27" i="13"/>
  <c r="G27" i="13"/>
  <c r="O30" i="17"/>
  <c r="O29" i="17"/>
  <c r="O28" i="17"/>
  <c r="O24" i="17"/>
  <c r="O23" i="17"/>
  <c r="O22" i="17"/>
  <c r="O14" i="17"/>
  <c r="O13" i="17"/>
  <c r="O10" i="17"/>
  <c r="N19" i="17"/>
  <c r="N11" i="17"/>
  <c r="B6" i="18"/>
  <c r="C7" i="21" l="1"/>
  <c r="C7" i="24"/>
  <c r="C7" i="8"/>
  <c r="N20" i="17"/>
  <c r="N25" i="17" l="1"/>
  <c r="N27" i="17" l="1"/>
  <c r="N31" i="17" l="1"/>
  <c r="A1" i="11"/>
  <c r="F23" i="24" l="1"/>
  <c r="D23" i="24" s="1"/>
  <c r="E22" i="24"/>
  <c r="E21" i="24"/>
  <c r="E20" i="24"/>
  <c r="D16" i="24"/>
  <c r="F16" i="24" s="1"/>
  <c r="E15" i="24"/>
  <c r="E14" i="24"/>
  <c r="E13" i="24"/>
  <c r="E12" i="24"/>
  <c r="E11" i="24"/>
  <c r="E7" i="24"/>
  <c r="D7" i="24"/>
  <c r="C25" i="23"/>
  <c r="E25" i="23" s="1"/>
  <c r="D24" i="23"/>
  <c r="D23" i="23"/>
  <c r="D22" i="23"/>
  <c r="C20" i="23"/>
  <c r="E20" i="23" s="1"/>
  <c r="D19" i="23"/>
  <c r="D18" i="23"/>
  <c r="D17" i="23"/>
  <c r="D16" i="23"/>
  <c r="C14" i="23"/>
  <c r="E14" i="23" s="1"/>
  <c r="D13" i="23"/>
  <c r="D12" i="23"/>
  <c r="D11" i="23"/>
  <c r="C9" i="23"/>
  <c r="E9" i="23" s="1"/>
  <c r="D8" i="23"/>
  <c r="D7" i="23"/>
  <c r="D6" i="23"/>
  <c r="D5" i="23"/>
  <c r="G23" i="24" l="1"/>
  <c r="E23" i="24" s="1"/>
  <c r="C7" i="25" s="1"/>
  <c r="D25" i="23"/>
  <c r="F25" i="23" s="1"/>
  <c r="E26" i="23"/>
  <c r="C26" i="23" s="1"/>
  <c r="J35" i="23" s="1"/>
  <c r="D9" i="23"/>
  <c r="F9" i="23" s="1"/>
  <c r="D14" i="23"/>
  <c r="F14" i="23" s="1"/>
  <c r="D20" i="23"/>
  <c r="F20" i="23" s="1"/>
  <c r="E16" i="24"/>
  <c r="G16" i="24" s="1"/>
  <c r="F7" i="24"/>
  <c r="G7" i="24"/>
  <c r="J34" i="23" l="1"/>
  <c r="F26" i="23"/>
  <c r="D26" i="23" s="1"/>
  <c r="D29" i="23" l="1"/>
  <c r="C5" i="25" s="1"/>
  <c r="J33" i="23"/>
  <c r="C28" i="23" s="1"/>
  <c r="C29" i="23" s="1"/>
  <c r="F23" i="21"/>
  <c r="D23" i="21" s="1"/>
  <c r="D7" i="22" s="1"/>
  <c r="E22" i="21"/>
  <c r="E21" i="21"/>
  <c r="E20" i="21"/>
  <c r="D16" i="21"/>
  <c r="F16" i="21" s="1"/>
  <c r="E15" i="21"/>
  <c r="E14" i="21"/>
  <c r="E13" i="21"/>
  <c r="E12" i="21"/>
  <c r="E11" i="21"/>
  <c r="E7" i="21"/>
  <c r="D7" i="21"/>
  <c r="C40" i="20"/>
  <c r="E40" i="20" s="1"/>
  <c r="D39" i="20"/>
  <c r="D38" i="20"/>
  <c r="D37" i="20"/>
  <c r="D36" i="20"/>
  <c r="D35" i="20"/>
  <c r="D34" i="20"/>
  <c r="C32" i="20"/>
  <c r="E32" i="20" s="1"/>
  <c r="D31" i="20"/>
  <c r="D30" i="20"/>
  <c r="D29" i="20"/>
  <c r="D28" i="20"/>
  <c r="C26" i="20"/>
  <c r="E26" i="20" s="1"/>
  <c r="D25" i="20"/>
  <c r="D24" i="20"/>
  <c r="D23" i="20"/>
  <c r="D22" i="20"/>
  <c r="D21" i="20"/>
  <c r="D20" i="20"/>
  <c r="D19" i="20"/>
  <c r="C17" i="20"/>
  <c r="E17" i="20" s="1"/>
  <c r="D16" i="20"/>
  <c r="D15" i="20"/>
  <c r="D14" i="20"/>
  <c r="D13" i="20"/>
  <c r="D12" i="20"/>
  <c r="C10" i="20"/>
  <c r="E10" i="20" s="1"/>
  <c r="D9" i="20"/>
  <c r="D8" i="20"/>
  <c r="D7" i="20"/>
  <c r="D6" i="20"/>
  <c r="D5" i="20"/>
  <c r="D17" i="20" l="1"/>
  <c r="F17" i="20" s="1"/>
  <c r="E16" i="21"/>
  <c r="G16" i="21" s="1"/>
  <c r="E41" i="20"/>
  <c r="C41" i="20" s="1"/>
  <c r="J21" i="20" s="1"/>
  <c r="D40" i="20"/>
  <c r="F40" i="20" s="1"/>
  <c r="D26" i="20"/>
  <c r="F26" i="20" s="1"/>
  <c r="D32" i="20"/>
  <c r="F32" i="20" s="1"/>
  <c r="G23" i="21"/>
  <c r="E23" i="21" s="1"/>
  <c r="C7" i="22" s="1"/>
  <c r="F7" i="22" s="1"/>
  <c r="G7" i="21"/>
  <c r="F7" i="21"/>
  <c r="D10" i="20"/>
  <c r="F10" i="20" s="1"/>
  <c r="J22" i="20"/>
  <c r="F41" i="20" l="1"/>
  <c r="D41" i="20" s="1"/>
  <c r="D44" i="20" s="1"/>
  <c r="C5" i="22" s="1"/>
  <c r="J20" i="20"/>
  <c r="C43" i="20" s="1"/>
  <c r="C44" i="20" s="1"/>
  <c r="D5" i="22" s="1"/>
  <c r="F5" i="22" s="1"/>
  <c r="I34" i="13"/>
  <c r="I30" i="13" l="1"/>
  <c r="D5" i="17" l="1"/>
  <c r="I25" i="13"/>
  <c r="I20" i="13" l="1"/>
  <c r="I15" i="13"/>
  <c r="I7" i="13"/>
  <c r="A1" i="13"/>
  <c r="B58" i="18"/>
  <c r="B59" i="18" s="1"/>
  <c r="T47" i="15"/>
  <c r="C28" i="13"/>
  <c r="W39" i="15"/>
  <c r="F44" i="18" s="1"/>
  <c r="V39" i="15"/>
  <c r="E44" i="18" s="1"/>
  <c r="U39" i="15"/>
  <c r="D44" i="18" s="1"/>
  <c r="T39" i="15"/>
  <c r="C44" i="18" s="1"/>
  <c r="W38" i="15"/>
  <c r="V38" i="15"/>
  <c r="U38" i="15"/>
  <c r="T38" i="15"/>
  <c r="W36" i="15"/>
  <c r="F39" i="18" s="1"/>
  <c r="V36" i="15"/>
  <c r="E39" i="18" s="1"/>
  <c r="U36" i="15"/>
  <c r="D39" i="18" s="1"/>
  <c r="T36" i="15"/>
  <c r="C39" i="18" s="1"/>
  <c r="W35" i="15"/>
  <c r="V35" i="15"/>
  <c r="U35" i="15"/>
  <c r="T35" i="15"/>
  <c r="W34" i="15"/>
  <c r="F43" i="18" s="1"/>
  <c r="V34" i="15"/>
  <c r="U34" i="15"/>
  <c r="T34" i="15"/>
  <c r="C43" i="18" s="1"/>
  <c r="W33" i="15"/>
  <c r="F40" i="18" s="1"/>
  <c r="V33" i="15"/>
  <c r="E40" i="18" s="1"/>
  <c r="U33" i="15"/>
  <c r="D40" i="18" s="1"/>
  <c r="T33" i="15"/>
  <c r="C40" i="18" s="1"/>
  <c r="W25" i="15"/>
  <c r="V25" i="15"/>
  <c r="U25" i="15"/>
  <c r="T25" i="15"/>
  <c r="T19" i="15"/>
  <c r="U19" i="15"/>
  <c r="V19" i="15"/>
  <c r="W19" i="15"/>
  <c r="T20" i="15"/>
  <c r="U20" i="15"/>
  <c r="V20" i="15"/>
  <c r="W20" i="15"/>
  <c r="T21" i="15"/>
  <c r="C41" i="18" s="1"/>
  <c r="U21" i="15"/>
  <c r="D41" i="18" s="1"/>
  <c r="V21" i="15"/>
  <c r="E41" i="18" s="1"/>
  <c r="W21" i="15"/>
  <c r="F41" i="18" s="1"/>
  <c r="T22" i="15"/>
  <c r="U22" i="15"/>
  <c r="V22" i="15"/>
  <c r="W22" i="15"/>
  <c r="U18" i="15"/>
  <c r="V18" i="15"/>
  <c r="W18" i="15"/>
  <c r="T18" i="15"/>
  <c r="C24" i="18" s="1"/>
  <c r="U10" i="15"/>
  <c r="V10" i="15"/>
  <c r="W10" i="15"/>
  <c r="T10" i="15"/>
  <c r="U11" i="15"/>
  <c r="D20" i="18" s="1"/>
  <c r="V11" i="15"/>
  <c r="E20" i="18" s="1"/>
  <c r="W11" i="15"/>
  <c r="F20" i="18" s="1"/>
  <c r="T11" i="15"/>
  <c r="C20" i="18" s="1"/>
  <c r="W63" i="15"/>
  <c r="V63" i="15"/>
  <c r="U63" i="15"/>
  <c r="T63" i="15"/>
  <c r="W62" i="15"/>
  <c r="V62" i="15"/>
  <c r="U62" i="15"/>
  <c r="T62" i="15"/>
  <c r="W61" i="15"/>
  <c r="F52" i="18" s="1"/>
  <c r="V61" i="15"/>
  <c r="E52" i="18" s="1"/>
  <c r="U61" i="15"/>
  <c r="D52" i="18" s="1"/>
  <c r="T61" i="15"/>
  <c r="C52" i="18" s="1"/>
  <c r="W60" i="15"/>
  <c r="V60" i="15"/>
  <c r="U60" i="15"/>
  <c r="T60" i="15"/>
  <c r="W59" i="15"/>
  <c r="V59" i="15"/>
  <c r="U59" i="15"/>
  <c r="T59" i="15"/>
  <c r="W57" i="15"/>
  <c r="V57" i="15"/>
  <c r="U57" i="15"/>
  <c r="T57" i="15"/>
  <c r="W54" i="15"/>
  <c r="V54" i="15"/>
  <c r="U54" i="15"/>
  <c r="T54" i="15"/>
  <c r="W53" i="15"/>
  <c r="V53" i="15"/>
  <c r="U53" i="15"/>
  <c r="T53" i="15"/>
  <c r="W52" i="15"/>
  <c r="F22" i="18" s="1"/>
  <c r="V52" i="15"/>
  <c r="E22" i="18" s="1"/>
  <c r="U52" i="15"/>
  <c r="D22" i="18" s="1"/>
  <c r="T52" i="15"/>
  <c r="C22" i="18" s="1"/>
  <c r="W51" i="15"/>
  <c r="V51" i="15"/>
  <c r="U51" i="15"/>
  <c r="T51" i="15"/>
  <c r="C10" i="18" s="1"/>
  <c r="W50" i="15"/>
  <c r="F32" i="18" s="1"/>
  <c r="V50" i="15"/>
  <c r="E32" i="18" s="1"/>
  <c r="U50" i="15"/>
  <c r="D32" i="18" s="1"/>
  <c r="T50" i="15"/>
  <c r="C32" i="18" s="1"/>
  <c r="W49" i="15"/>
  <c r="F21" i="18" s="1"/>
  <c r="V49" i="15"/>
  <c r="E21" i="18" s="1"/>
  <c r="T49" i="15"/>
  <c r="C21" i="18" s="1"/>
  <c r="W47" i="15"/>
  <c r="V47" i="15"/>
  <c r="U47" i="15"/>
  <c r="W46" i="15"/>
  <c r="F49" i="18" s="1"/>
  <c r="V46" i="15"/>
  <c r="E49" i="18" s="1"/>
  <c r="U46" i="15"/>
  <c r="D49" i="18" s="1"/>
  <c r="T46" i="15"/>
  <c r="C49" i="18" s="1"/>
  <c r="W74" i="15"/>
  <c r="V74" i="15"/>
  <c r="U74" i="15"/>
  <c r="T74" i="15"/>
  <c r="W71" i="15"/>
  <c r="V71" i="15"/>
  <c r="U71" i="15"/>
  <c r="T71" i="15"/>
  <c r="W69" i="15"/>
  <c r="V69" i="15"/>
  <c r="U69" i="15"/>
  <c r="T69" i="15"/>
  <c r="W68" i="15"/>
  <c r="V68" i="15"/>
  <c r="U68" i="15"/>
  <c r="T68" i="15"/>
  <c r="W67" i="15"/>
  <c r="V67" i="15"/>
  <c r="U67" i="15"/>
  <c r="T67" i="15"/>
  <c r="W66" i="15"/>
  <c r="F53" i="18" s="1"/>
  <c r="V66" i="15"/>
  <c r="E53" i="18" s="1"/>
  <c r="U66" i="15"/>
  <c r="D53" i="18" s="1"/>
  <c r="T66" i="15"/>
  <c r="C53" i="18" s="1"/>
  <c r="W9" i="15"/>
  <c r="V9" i="15"/>
  <c r="U9" i="15"/>
  <c r="T9" i="15"/>
  <c r="O26" i="15"/>
  <c r="N26" i="15"/>
  <c r="O28" i="15"/>
  <c r="N29" i="15"/>
  <c r="D43" i="18" l="1"/>
  <c r="E43" i="18"/>
  <c r="C25" i="18"/>
  <c r="V14" i="15"/>
  <c r="O14" i="15"/>
  <c r="W14" i="15"/>
  <c r="P14" i="15"/>
  <c r="Q14" i="15"/>
  <c r="W27" i="15"/>
  <c r="P27" i="15"/>
  <c r="Q27" i="15"/>
  <c r="W26" i="15"/>
  <c r="P26" i="15"/>
  <c r="Q26" i="15"/>
  <c r="D28" i="13"/>
  <c r="N49" i="15"/>
  <c r="U15" i="15"/>
  <c r="N15" i="15"/>
  <c r="F28" i="13"/>
  <c r="P49" i="15"/>
  <c r="Q49" i="15"/>
  <c r="U14" i="15"/>
  <c r="N14" i="15"/>
  <c r="V15" i="15"/>
  <c r="O15" i="15"/>
  <c r="W15" i="15"/>
  <c r="P15" i="15"/>
  <c r="Q15" i="15"/>
  <c r="W28" i="15"/>
  <c r="P28" i="15"/>
  <c r="Q28" i="15"/>
  <c r="U16" i="15"/>
  <c r="N16" i="15"/>
  <c r="V16" i="15"/>
  <c r="O16" i="15"/>
  <c r="W16" i="15"/>
  <c r="P16" i="15"/>
  <c r="Q16" i="15"/>
  <c r="W29" i="15"/>
  <c r="P29" i="15"/>
  <c r="Q29" i="15"/>
  <c r="U13" i="15"/>
  <c r="N13" i="15"/>
  <c r="V13" i="15"/>
  <c r="O13" i="15"/>
  <c r="W13" i="15"/>
  <c r="P13" i="15"/>
  <c r="Q13" i="15"/>
  <c r="E28" i="13"/>
  <c r="O49" i="15"/>
  <c r="O29" i="15"/>
  <c r="N27" i="15"/>
  <c r="N28" i="15"/>
  <c r="O27" i="15"/>
  <c r="E10" i="18"/>
  <c r="E24" i="18"/>
  <c r="T29" i="15"/>
  <c r="T27" i="15"/>
  <c r="U28" i="15"/>
  <c r="V29" i="15"/>
  <c r="V27" i="15"/>
  <c r="T26" i="15"/>
  <c r="V26" i="15"/>
  <c r="U49" i="15"/>
  <c r="D21" i="18" s="1"/>
  <c r="D10" i="18"/>
  <c r="F10" i="18"/>
  <c r="D25" i="18"/>
  <c r="F25" i="18"/>
  <c r="F24" i="18"/>
  <c r="D24" i="18"/>
  <c r="E25" i="18"/>
  <c r="T28" i="15"/>
  <c r="U29" i="15"/>
  <c r="U27" i="15"/>
  <c r="V28" i="15"/>
  <c r="U26" i="15"/>
  <c r="B31" i="15"/>
  <c r="T13" i="15"/>
  <c r="T15" i="15"/>
  <c r="C31" i="15"/>
  <c r="T16" i="15"/>
  <c r="T14" i="15"/>
  <c r="W31" i="15" l="1"/>
  <c r="P31" i="15"/>
  <c r="Q31" i="15"/>
  <c r="U31" i="15"/>
  <c r="N31" i="15"/>
  <c r="O31" i="15"/>
  <c r="V31" i="15"/>
  <c r="T31" i="15"/>
  <c r="F56" i="18"/>
  <c r="E56" i="18"/>
  <c r="D56" i="18"/>
  <c r="C33" i="18"/>
  <c r="E33" i="18"/>
  <c r="F33" i="18"/>
  <c r="D33" i="18"/>
  <c r="C56" i="18" l="1"/>
  <c r="F6" i="18" l="1"/>
  <c r="E6" i="18"/>
  <c r="D6" i="18"/>
  <c r="C6" i="18"/>
  <c r="A6" i="18"/>
  <c r="E5" i="18"/>
  <c r="D5" i="18"/>
  <c r="C5" i="18"/>
  <c r="B5" i="18"/>
  <c r="A5" i="18"/>
  <c r="F4" i="18"/>
  <c r="E4" i="18"/>
  <c r="D4" i="18"/>
  <c r="C4" i="18"/>
  <c r="B4" i="18"/>
  <c r="A4" i="18"/>
  <c r="A5" i="17"/>
  <c r="B5" i="17"/>
  <c r="C5" i="17"/>
  <c r="E5" i="17"/>
  <c r="C4" i="17"/>
  <c r="D4" i="17"/>
  <c r="E4" i="17"/>
  <c r="F4" i="17"/>
  <c r="A4" i="17"/>
  <c r="A1" i="18"/>
  <c r="A1" i="17"/>
  <c r="A1" i="15"/>
  <c r="C19" i="17"/>
  <c r="D19" i="17"/>
  <c r="E19" i="17"/>
  <c r="F19" i="17"/>
  <c r="L19" i="17" s="1"/>
  <c r="B19" i="17"/>
  <c r="H19" i="17" s="1"/>
  <c r="I19" i="17" l="1"/>
  <c r="R19" i="17"/>
  <c r="J19" i="17"/>
  <c r="S19" i="17"/>
  <c r="T19" i="17"/>
  <c r="U19" i="17"/>
  <c r="K19" i="17"/>
  <c r="U64" i="15"/>
  <c r="W64" i="15"/>
  <c r="C55" i="15"/>
  <c r="D55" i="15"/>
  <c r="E55" i="15"/>
  <c r="F55" i="15"/>
  <c r="B55" i="15"/>
  <c r="C72" i="15"/>
  <c r="D72" i="15"/>
  <c r="E72" i="15"/>
  <c r="F72" i="15"/>
  <c r="B72" i="15"/>
  <c r="C30" i="15"/>
  <c r="D30" i="15"/>
  <c r="D32" i="15" s="1"/>
  <c r="E30" i="15"/>
  <c r="E32" i="15" s="1"/>
  <c r="F30" i="15"/>
  <c r="F32" i="15" s="1"/>
  <c r="B30" i="15"/>
  <c r="T30" i="15" s="1"/>
  <c r="C17" i="15"/>
  <c r="D17" i="15"/>
  <c r="E17" i="15"/>
  <c r="F17" i="15"/>
  <c r="B17" i="15"/>
  <c r="B32" i="15" l="1"/>
  <c r="P55" i="15"/>
  <c r="Q17" i="15"/>
  <c r="P17" i="15"/>
  <c r="P30" i="15"/>
  <c r="Q72" i="15"/>
  <c r="O72" i="15"/>
  <c r="Q32" i="15"/>
  <c r="F40" i="15"/>
  <c r="O17" i="15"/>
  <c r="E37" i="18"/>
  <c r="N17" i="15"/>
  <c r="O30" i="15"/>
  <c r="P72" i="15"/>
  <c r="Q55" i="15"/>
  <c r="P32" i="15"/>
  <c r="F37" i="18"/>
  <c r="N55" i="15"/>
  <c r="N30" i="15"/>
  <c r="Q30" i="15"/>
  <c r="N72" i="15"/>
  <c r="O55" i="15"/>
  <c r="F12" i="13"/>
  <c r="C21" i="11" s="1"/>
  <c r="F26" i="13"/>
  <c r="C18" i="13"/>
  <c r="C38" i="13"/>
  <c r="C16" i="13"/>
  <c r="D38" i="13"/>
  <c r="D18" i="13"/>
  <c r="D16" i="13"/>
  <c r="G12" i="13"/>
  <c r="G26" i="13"/>
  <c r="E12" i="13"/>
  <c r="E26" i="13"/>
  <c r="G18" i="13"/>
  <c r="G16" i="13"/>
  <c r="G38" i="13"/>
  <c r="E18" i="13"/>
  <c r="E16" i="13"/>
  <c r="E38" i="13"/>
  <c r="C23" i="13"/>
  <c r="C17" i="13"/>
  <c r="F17" i="13"/>
  <c r="C17" i="11" s="1"/>
  <c r="F23" i="13"/>
  <c r="D23" i="13"/>
  <c r="D17" i="13"/>
  <c r="C12" i="13"/>
  <c r="C26" i="13"/>
  <c r="D12" i="13"/>
  <c r="D26" i="13"/>
  <c r="F38" i="13"/>
  <c r="F18" i="13"/>
  <c r="F16" i="13"/>
  <c r="G17" i="13"/>
  <c r="C27" i="11" s="1"/>
  <c r="G23" i="13"/>
  <c r="E17" i="13"/>
  <c r="E23" i="13"/>
  <c r="W30" i="15"/>
  <c r="U30" i="15"/>
  <c r="W55" i="15"/>
  <c r="F23" i="15"/>
  <c r="B40" i="15"/>
  <c r="W72" i="15"/>
  <c r="B23" i="15"/>
  <c r="T17" i="15"/>
  <c r="C19" i="18" s="1"/>
  <c r="C23" i="18" s="1"/>
  <c r="C26" i="18" s="1"/>
  <c r="E23" i="15"/>
  <c r="W17" i="15"/>
  <c r="F19" i="18" s="1"/>
  <c r="F23" i="18" s="1"/>
  <c r="F26" i="18" s="1"/>
  <c r="C23" i="15"/>
  <c r="U17" i="15"/>
  <c r="D19" i="18" s="1"/>
  <c r="D23" i="18" s="1"/>
  <c r="D26" i="18" s="1"/>
  <c r="V32" i="15"/>
  <c r="D40" i="15"/>
  <c r="V72" i="15"/>
  <c r="T72" i="15"/>
  <c r="V30" i="15"/>
  <c r="V64" i="15"/>
  <c r="T64" i="15"/>
  <c r="V17" i="15"/>
  <c r="E19" i="18" s="1"/>
  <c r="E23" i="18" s="1"/>
  <c r="E26" i="18" s="1"/>
  <c r="D23" i="15"/>
  <c r="E40" i="15"/>
  <c r="W32" i="15"/>
  <c r="U72" i="15"/>
  <c r="T55" i="15"/>
  <c r="U55" i="15"/>
  <c r="V55" i="15"/>
  <c r="C32" i="15"/>
  <c r="O32" i="15" s="1"/>
  <c r="D76" i="15"/>
  <c r="F76" i="15"/>
  <c r="B76" i="15"/>
  <c r="E76" i="15"/>
  <c r="C76" i="15"/>
  <c r="O76" i="15" l="1"/>
  <c r="Q23" i="15"/>
  <c r="O23" i="15"/>
  <c r="C37" i="18"/>
  <c r="N76" i="15"/>
  <c r="P40" i="15"/>
  <c r="N23" i="15"/>
  <c r="Q76" i="15"/>
  <c r="W76" i="15"/>
  <c r="P76" i="15"/>
  <c r="N32" i="15"/>
  <c r="D37" i="18"/>
  <c r="P23" i="15"/>
  <c r="E22" i="13"/>
  <c r="E21" i="13"/>
  <c r="D21" i="13"/>
  <c r="D22" i="13"/>
  <c r="F22" i="13"/>
  <c r="C18" i="11" s="1"/>
  <c r="F21" i="13"/>
  <c r="G39" i="13"/>
  <c r="D39" i="13"/>
  <c r="G21" i="13"/>
  <c r="G22" i="13"/>
  <c r="C26" i="11" s="1"/>
  <c r="F39" i="13"/>
  <c r="E39" i="13"/>
  <c r="C21" i="13"/>
  <c r="C22" i="13"/>
  <c r="U76" i="15"/>
  <c r="C40" i="15"/>
  <c r="O40" i="15" s="1"/>
  <c r="U32" i="15"/>
  <c r="V23" i="15"/>
  <c r="V40" i="15"/>
  <c r="T32" i="15"/>
  <c r="U23" i="15"/>
  <c r="T23" i="15"/>
  <c r="W23" i="15"/>
  <c r="T40" i="15"/>
  <c r="V76" i="15"/>
  <c r="T76" i="15"/>
  <c r="D42" i="15"/>
  <c r="E42" i="15"/>
  <c r="C42" i="15" l="1"/>
  <c r="I58" i="15" s="1"/>
  <c r="J58" i="15"/>
  <c r="U40" i="15"/>
  <c r="N40" i="15"/>
  <c r="K58" i="15"/>
  <c r="P42" i="15"/>
  <c r="W40" i="15"/>
  <c r="Q40" i="15"/>
  <c r="C41" i="11"/>
  <c r="J48" i="15"/>
  <c r="J70" i="15"/>
  <c r="K70" i="15"/>
  <c r="K48" i="15"/>
  <c r="I70" i="15"/>
  <c r="I48" i="15"/>
  <c r="F42" i="15"/>
  <c r="L63" i="15" s="1"/>
  <c r="U42" i="15"/>
  <c r="V42" i="15"/>
  <c r="J63" i="15"/>
  <c r="J61" i="15"/>
  <c r="J59" i="15"/>
  <c r="J53" i="15"/>
  <c r="J51" i="15"/>
  <c r="J49" i="15"/>
  <c r="J46" i="15"/>
  <c r="J74" i="15"/>
  <c r="J67" i="15"/>
  <c r="J69" i="15"/>
  <c r="J66" i="15"/>
  <c r="J38" i="15"/>
  <c r="J36" i="15"/>
  <c r="J34" i="15"/>
  <c r="J28" i="15"/>
  <c r="J26" i="15"/>
  <c r="J20" i="15"/>
  <c r="J18" i="15"/>
  <c r="J16" i="15"/>
  <c r="J14" i="15"/>
  <c r="J10" i="15"/>
  <c r="J62" i="15"/>
  <c r="J60" i="15"/>
  <c r="J54" i="15"/>
  <c r="J52" i="15"/>
  <c r="J50" i="15"/>
  <c r="J47" i="15"/>
  <c r="J71" i="15"/>
  <c r="J68" i="15"/>
  <c r="J42" i="15"/>
  <c r="J39" i="15"/>
  <c r="J37" i="15"/>
  <c r="J35" i="15"/>
  <c r="J33" i="15"/>
  <c r="J31" i="15"/>
  <c r="J29" i="15"/>
  <c r="J27" i="15"/>
  <c r="J25" i="15"/>
  <c r="J22" i="15"/>
  <c r="J19" i="15"/>
  <c r="J15" i="15"/>
  <c r="J13" i="15"/>
  <c r="J11" i="15"/>
  <c r="J17" i="15"/>
  <c r="J55" i="15"/>
  <c r="J64" i="15"/>
  <c r="J72" i="15"/>
  <c r="J32" i="15"/>
  <c r="J30" i="15"/>
  <c r="K62" i="15"/>
  <c r="K60" i="15"/>
  <c r="K54" i="15"/>
  <c r="K52" i="15"/>
  <c r="K50" i="15"/>
  <c r="K47" i="15"/>
  <c r="K71" i="15"/>
  <c r="K68" i="15"/>
  <c r="K42" i="15"/>
  <c r="K39" i="15"/>
  <c r="K37" i="15"/>
  <c r="K35" i="15"/>
  <c r="K33" i="15"/>
  <c r="K31" i="15"/>
  <c r="K29" i="15"/>
  <c r="K27" i="15"/>
  <c r="K25" i="15"/>
  <c r="K22" i="15"/>
  <c r="K19" i="15"/>
  <c r="K15" i="15"/>
  <c r="K13" i="15"/>
  <c r="K11" i="15"/>
  <c r="K63" i="15"/>
  <c r="K61" i="15"/>
  <c r="K59" i="15"/>
  <c r="K53" i="15"/>
  <c r="K51" i="15"/>
  <c r="K49" i="15"/>
  <c r="K46" i="15"/>
  <c r="K74" i="15"/>
  <c r="K67" i="15"/>
  <c r="K69" i="15"/>
  <c r="K66" i="15"/>
  <c r="K38" i="15"/>
  <c r="K36" i="15"/>
  <c r="K34" i="15"/>
  <c r="K28" i="15"/>
  <c r="K26" i="15"/>
  <c r="K20" i="15"/>
  <c r="K18" i="15"/>
  <c r="K16" i="15"/>
  <c r="K14" i="15"/>
  <c r="K10" i="15"/>
  <c r="K32" i="15"/>
  <c r="K30" i="15"/>
  <c r="K55" i="15"/>
  <c r="K17" i="15"/>
  <c r="K72" i="15"/>
  <c r="K64" i="15"/>
  <c r="J76" i="15"/>
  <c r="J40" i="15"/>
  <c r="J23" i="15"/>
  <c r="K23" i="15"/>
  <c r="K40" i="15"/>
  <c r="K76" i="15"/>
  <c r="I64" i="15"/>
  <c r="I62" i="15"/>
  <c r="I60" i="15"/>
  <c r="I54" i="15"/>
  <c r="I52" i="15"/>
  <c r="I50" i="15"/>
  <c r="I47" i="15"/>
  <c r="I72" i="15"/>
  <c r="I71" i="15"/>
  <c r="I68" i="15"/>
  <c r="I42" i="15"/>
  <c r="I39" i="15"/>
  <c r="I37" i="15"/>
  <c r="I35" i="15"/>
  <c r="I33" i="15"/>
  <c r="I31" i="15"/>
  <c r="I29" i="15"/>
  <c r="I27" i="15"/>
  <c r="I25" i="15"/>
  <c r="I22" i="15"/>
  <c r="I19" i="15"/>
  <c r="I17" i="15"/>
  <c r="I15" i="15"/>
  <c r="I13" i="15"/>
  <c r="I11" i="15"/>
  <c r="I76" i="15"/>
  <c r="I63" i="15"/>
  <c r="I61" i="15"/>
  <c r="I59" i="15"/>
  <c r="I55" i="15"/>
  <c r="I53" i="15"/>
  <c r="I51" i="15"/>
  <c r="I49" i="15"/>
  <c r="I46" i="15"/>
  <c r="I74" i="15"/>
  <c r="I67" i="15"/>
  <c r="I69" i="15"/>
  <c r="I66" i="15"/>
  <c r="I38" i="15"/>
  <c r="I36" i="15"/>
  <c r="I34" i="15"/>
  <c r="I32" i="15"/>
  <c r="I30" i="15"/>
  <c r="I28" i="15"/>
  <c r="I26" i="15"/>
  <c r="I20" i="15"/>
  <c r="I18" i="15"/>
  <c r="I16" i="15"/>
  <c r="I14" i="15"/>
  <c r="I10" i="15"/>
  <c r="I40" i="15"/>
  <c r="B42" i="15"/>
  <c r="H58" i="15" s="1"/>
  <c r="I23" i="15"/>
  <c r="D78" i="15"/>
  <c r="C78" i="15"/>
  <c r="E78" i="15"/>
  <c r="O42" i="15" l="1"/>
  <c r="L52" i="15"/>
  <c r="L35" i="15"/>
  <c r="L15" i="15"/>
  <c r="L72" i="15"/>
  <c r="L20" i="15"/>
  <c r="L40" i="15"/>
  <c r="L11" i="15"/>
  <c r="L31" i="15"/>
  <c r="L47" i="15"/>
  <c r="L16" i="15"/>
  <c r="L17" i="15"/>
  <c r="L27" i="15"/>
  <c r="L68" i="15"/>
  <c r="L12" i="15"/>
  <c r="L30" i="15"/>
  <c r="L22" i="15"/>
  <c r="L39" i="15"/>
  <c r="L62" i="15"/>
  <c r="L36" i="15"/>
  <c r="N42" i="15"/>
  <c r="L46" i="15"/>
  <c r="L28" i="15"/>
  <c r="L66" i="15"/>
  <c r="L59" i="15"/>
  <c r="L67" i="15"/>
  <c r="L51" i="15"/>
  <c r="W42" i="15"/>
  <c r="L58" i="15"/>
  <c r="Q42" i="15"/>
  <c r="B78" i="15"/>
  <c r="H70" i="15"/>
  <c r="H48" i="15"/>
  <c r="F78" i="15"/>
  <c r="L76" i="15"/>
  <c r="L23" i="15"/>
  <c r="L64" i="15"/>
  <c r="L55" i="15"/>
  <c r="L32" i="15"/>
  <c r="L9" i="15"/>
  <c r="L13" i="15"/>
  <c r="L19" i="15"/>
  <c r="L25" i="15"/>
  <c r="L29" i="15"/>
  <c r="L33" i="15"/>
  <c r="L37" i="15"/>
  <c r="L42" i="15"/>
  <c r="L71" i="15"/>
  <c r="L50" i="15"/>
  <c r="L54" i="15"/>
  <c r="L60" i="15"/>
  <c r="L10" i="15"/>
  <c r="L14" i="15"/>
  <c r="L18" i="15"/>
  <c r="L26" i="15"/>
  <c r="L34" i="15"/>
  <c r="L38" i="15"/>
  <c r="L69" i="15"/>
  <c r="L74" i="15"/>
  <c r="L49" i="15"/>
  <c r="L53" i="15"/>
  <c r="L61" i="15"/>
  <c r="T42" i="15"/>
  <c r="H76" i="15"/>
  <c r="H63" i="15"/>
  <c r="H61" i="15"/>
  <c r="H59" i="15"/>
  <c r="H55" i="15"/>
  <c r="H53" i="15"/>
  <c r="H51" i="15"/>
  <c r="H49" i="15"/>
  <c r="H46" i="15"/>
  <c r="H74" i="15"/>
  <c r="H67" i="15"/>
  <c r="H69" i="15"/>
  <c r="H66" i="15"/>
  <c r="H38" i="15"/>
  <c r="H36" i="15"/>
  <c r="H34" i="15"/>
  <c r="H32" i="15"/>
  <c r="H30" i="15"/>
  <c r="H28" i="15"/>
  <c r="H26" i="15"/>
  <c r="H20" i="15"/>
  <c r="H18" i="15"/>
  <c r="H16" i="15"/>
  <c r="H14" i="15"/>
  <c r="H10" i="15"/>
  <c r="H64" i="15"/>
  <c r="H62" i="15"/>
  <c r="H60" i="15"/>
  <c r="H54" i="15"/>
  <c r="H52" i="15"/>
  <c r="H50" i="15"/>
  <c r="H47" i="15"/>
  <c r="H72" i="15"/>
  <c r="H71" i="15"/>
  <c r="H68" i="15"/>
  <c r="H42" i="15"/>
  <c r="H39" i="15"/>
  <c r="H37" i="15"/>
  <c r="H35" i="15"/>
  <c r="H33" i="15"/>
  <c r="H31" i="15"/>
  <c r="H29" i="15"/>
  <c r="H27" i="15"/>
  <c r="H25" i="15"/>
  <c r="H22" i="15"/>
  <c r="H19" i="15"/>
  <c r="H17" i="15"/>
  <c r="H15" i="15"/>
  <c r="H13" i="15"/>
  <c r="H11" i="15"/>
  <c r="H23" i="15"/>
  <c r="H40" i="15"/>
  <c r="D45" i="18" l="1"/>
  <c r="C45" i="18"/>
  <c r="E45" i="18"/>
  <c r="F16" i="18"/>
  <c r="E16" i="18"/>
  <c r="D16" i="18"/>
  <c r="C16" i="18"/>
  <c r="L30" i="17"/>
  <c r="K30" i="17"/>
  <c r="J30" i="17"/>
  <c r="I30" i="17"/>
  <c r="H30" i="17"/>
  <c r="L29" i="17"/>
  <c r="K29" i="17"/>
  <c r="J29" i="17"/>
  <c r="I29" i="17"/>
  <c r="H29" i="17"/>
  <c r="L28" i="17"/>
  <c r="K28" i="17"/>
  <c r="J28" i="17"/>
  <c r="I28" i="17"/>
  <c r="H28" i="17"/>
  <c r="L26" i="17"/>
  <c r="K26" i="17"/>
  <c r="J26" i="17"/>
  <c r="I26" i="17"/>
  <c r="H26" i="17"/>
  <c r="L24" i="17"/>
  <c r="K24" i="17"/>
  <c r="J24" i="17"/>
  <c r="I24" i="17"/>
  <c r="H24" i="17"/>
  <c r="L23" i="17"/>
  <c r="K23" i="17"/>
  <c r="J23" i="17"/>
  <c r="I23" i="17"/>
  <c r="H23" i="17"/>
  <c r="L22" i="17"/>
  <c r="K22" i="17"/>
  <c r="J22" i="17"/>
  <c r="I22" i="17"/>
  <c r="H22" i="17"/>
  <c r="L21" i="17"/>
  <c r="K21" i="17"/>
  <c r="J21" i="17"/>
  <c r="I21" i="17"/>
  <c r="H21" i="17"/>
  <c r="L15" i="17"/>
  <c r="K15" i="17"/>
  <c r="J15" i="17"/>
  <c r="I15" i="17"/>
  <c r="H15" i="17"/>
  <c r="L14" i="17"/>
  <c r="K14" i="17"/>
  <c r="J14" i="17"/>
  <c r="I14" i="17"/>
  <c r="H14" i="17"/>
  <c r="L13" i="17"/>
  <c r="K13" i="17"/>
  <c r="J13" i="17"/>
  <c r="I13" i="17"/>
  <c r="H13" i="17"/>
  <c r="L12" i="17"/>
  <c r="K12" i="17"/>
  <c r="J12" i="17"/>
  <c r="I12" i="17"/>
  <c r="H12" i="17"/>
  <c r="H9" i="17"/>
  <c r="I9" i="17"/>
  <c r="J9" i="17"/>
  <c r="K9" i="17"/>
  <c r="L9" i="17"/>
  <c r="H10" i="17"/>
  <c r="I10" i="17"/>
  <c r="J10" i="17"/>
  <c r="K10" i="17"/>
  <c r="L10" i="17"/>
  <c r="I8" i="17"/>
  <c r="J8" i="17"/>
  <c r="K8" i="17"/>
  <c r="L8" i="17"/>
  <c r="H8" i="17"/>
  <c r="C11" i="17"/>
  <c r="D11" i="17"/>
  <c r="E11" i="17"/>
  <c r="F11" i="17"/>
  <c r="B11" i="17"/>
  <c r="C8" i="13" s="1"/>
  <c r="T11" i="17" l="1"/>
  <c r="G8" i="13"/>
  <c r="U11" i="17"/>
  <c r="D8" i="13"/>
  <c r="R11" i="17"/>
  <c r="E8" i="13"/>
  <c r="S11" i="17"/>
  <c r="F8" i="13"/>
  <c r="E20" i="17"/>
  <c r="C20" i="17"/>
  <c r="F20" i="17"/>
  <c r="D20" i="17"/>
  <c r="J20" i="17" s="1"/>
  <c r="B20" i="17"/>
  <c r="F45" i="18"/>
  <c r="H11" i="17"/>
  <c r="J11" i="17"/>
  <c r="L11" i="17"/>
  <c r="I11" i="17"/>
  <c r="K11" i="17"/>
  <c r="C6" i="11"/>
  <c r="G9" i="13" l="1"/>
  <c r="G11" i="13"/>
  <c r="C28" i="11" s="1"/>
  <c r="S20" i="17"/>
  <c r="E9" i="13"/>
  <c r="E11" i="13"/>
  <c r="F9" i="13"/>
  <c r="F11" i="13"/>
  <c r="C20" i="11" s="1"/>
  <c r="R20" i="17"/>
  <c r="T20" i="17"/>
  <c r="U20" i="17"/>
  <c r="E32" i="13"/>
  <c r="E31" i="13"/>
  <c r="C9" i="18"/>
  <c r="C11" i="18" s="1"/>
  <c r="C17" i="18" s="1"/>
  <c r="C27" i="18" s="1"/>
  <c r="D13" i="13" s="1"/>
  <c r="D31" i="13"/>
  <c r="D32" i="13"/>
  <c r="H20" i="17"/>
  <c r="C32" i="13"/>
  <c r="C31" i="13"/>
  <c r="L20" i="17"/>
  <c r="F9" i="18"/>
  <c r="G31" i="13"/>
  <c r="G32" i="13"/>
  <c r="F32" i="13"/>
  <c r="F31" i="13"/>
  <c r="E9" i="18"/>
  <c r="D9" i="18"/>
  <c r="E1" i="24"/>
  <c r="D1" i="23"/>
  <c r="E1" i="21"/>
  <c r="E1" i="22"/>
  <c r="D1" i="20"/>
  <c r="D25" i="17"/>
  <c r="D27" i="17" s="1"/>
  <c r="C25" i="17"/>
  <c r="I25" i="17" s="1"/>
  <c r="E25" i="17"/>
  <c r="O25" i="17" s="1"/>
  <c r="B25" i="17"/>
  <c r="C36" i="13" s="1"/>
  <c r="F25" i="17"/>
  <c r="G36" i="13" s="1"/>
  <c r="E1" i="25"/>
  <c r="N7" i="17"/>
  <c r="K20" i="17"/>
  <c r="I20" i="17"/>
  <c r="E7" i="8"/>
  <c r="D7" i="8"/>
  <c r="K25" i="17" l="1"/>
  <c r="C27" i="17"/>
  <c r="S27" i="17" s="1"/>
  <c r="F27" i="17"/>
  <c r="G10" i="13" s="1"/>
  <c r="L25" i="17"/>
  <c r="D10" i="13"/>
  <c r="D36" i="13"/>
  <c r="D37" i="13" s="1"/>
  <c r="R25" i="17"/>
  <c r="E10" i="13"/>
  <c r="E36" i="13"/>
  <c r="S25" i="17"/>
  <c r="T25" i="17"/>
  <c r="U25" i="17"/>
  <c r="E27" i="17"/>
  <c r="E31" i="17" s="1"/>
  <c r="K31" i="17" s="1"/>
  <c r="F36" i="13"/>
  <c r="D46" i="13"/>
  <c r="D48" i="13"/>
  <c r="D47" i="13"/>
  <c r="D45" i="13"/>
  <c r="D40" i="13"/>
  <c r="J25" i="17"/>
  <c r="D11" i="18"/>
  <c r="D31" i="17"/>
  <c r="C19" i="11"/>
  <c r="C31" i="17"/>
  <c r="I31" i="17" s="1"/>
  <c r="F11" i="18"/>
  <c r="J27" i="17"/>
  <c r="E11" i="18"/>
  <c r="E17" i="18" s="1"/>
  <c r="I27" i="17"/>
  <c r="B27" i="17"/>
  <c r="H25" i="17"/>
  <c r="I24" i="11"/>
  <c r="R27" i="17" l="1"/>
  <c r="E37" i="13"/>
  <c r="F37" i="13"/>
  <c r="L27" i="17"/>
  <c r="F31" i="17"/>
  <c r="L31" i="17" s="1"/>
  <c r="J31" i="17"/>
  <c r="S31" i="17"/>
  <c r="K27" i="17"/>
  <c r="O31" i="17"/>
  <c r="T31" i="17"/>
  <c r="C8" i="8"/>
  <c r="D8" i="8" s="1"/>
  <c r="C8" i="21"/>
  <c r="E8" i="21" s="1"/>
  <c r="C8" i="24"/>
  <c r="E8" i="24" s="1"/>
  <c r="F10" i="13"/>
  <c r="T27" i="17"/>
  <c r="U27" i="17"/>
  <c r="G37" i="13"/>
  <c r="C45" i="13"/>
  <c r="C10" i="13"/>
  <c r="F17" i="18"/>
  <c r="D17" i="18"/>
  <c r="B31" i="17"/>
  <c r="H31" i="17" s="1"/>
  <c r="H27" i="17"/>
  <c r="E22" i="8"/>
  <c r="E21" i="8"/>
  <c r="E20" i="8"/>
  <c r="E15" i="8"/>
  <c r="E14" i="8"/>
  <c r="E13" i="8"/>
  <c r="E12" i="8"/>
  <c r="E11" i="8"/>
  <c r="D33" i="6"/>
  <c r="D32" i="6"/>
  <c r="D31" i="6"/>
  <c r="D28" i="6"/>
  <c r="D27" i="6"/>
  <c r="D26" i="6"/>
  <c r="D25" i="6"/>
  <c r="D24" i="6"/>
  <c r="D23" i="6"/>
  <c r="D20" i="6"/>
  <c r="D19" i="6"/>
  <c r="D18" i="6"/>
  <c r="D17" i="6"/>
  <c r="D14" i="6"/>
  <c r="D13" i="6"/>
  <c r="D6" i="6"/>
  <c r="D7" i="6"/>
  <c r="D8" i="6"/>
  <c r="D9" i="6"/>
  <c r="D10" i="6"/>
  <c r="D5" i="6"/>
  <c r="C40" i="11" l="1"/>
  <c r="E40" i="11" s="1"/>
  <c r="E8" i="8"/>
  <c r="U31" i="17"/>
  <c r="D8" i="24"/>
  <c r="D9" i="24" s="1"/>
  <c r="D8" i="21"/>
  <c r="F8" i="21" s="1"/>
  <c r="F9" i="21" s="1"/>
  <c r="F17" i="21" s="1"/>
  <c r="D17" i="21" s="1"/>
  <c r="D6" i="22" s="1"/>
  <c r="R31" i="17"/>
  <c r="E27" i="18"/>
  <c r="F13" i="13" s="1"/>
  <c r="D27" i="18"/>
  <c r="E13" i="13" s="1"/>
  <c r="F27" i="18"/>
  <c r="G13" i="13" s="1"/>
  <c r="G8" i="24"/>
  <c r="G9" i="24" s="1"/>
  <c r="G17" i="24" s="1"/>
  <c r="E17" i="24" s="1"/>
  <c r="C6" i="25" s="1"/>
  <c r="E9" i="24"/>
  <c r="G8" i="21"/>
  <c r="G9" i="21" s="1"/>
  <c r="G17" i="21" s="1"/>
  <c r="E17" i="21" s="1"/>
  <c r="C6" i="22" s="1"/>
  <c r="E9" i="21"/>
  <c r="E43" i="11"/>
  <c r="E41" i="11"/>
  <c r="E39" i="11"/>
  <c r="D43" i="11"/>
  <c r="D41" i="11"/>
  <c r="D39" i="11"/>
  <c r="E36" i="11"/>
  <c r="E35" i="11"/>
  <c r="E34" i="11"/>
  <c r="E33" i="11"/>
  <c r="H24" i="11"/>
  <c r="E28" i="11"/>
  <c r="D28" i="11"/>
  <c r="E27" i="11"/>
  <c r="D27" i="11"/>
  <c r="E26" i="11"/>
  <c r="D26" i="11"/>
  <c r="E24" i="11"/>
  <c r="F21" i="11"/>
  <c r="J21" i="11" s="1"/>
  <c r="E21" i="11"/>
  <c r="I21" i="11" s="1"/>
  <c r="D21" i="11"/>
  <c r="H21" i="11" s="1"/>
  <c r="F20" i="11"/>
  <c r="J20" i="11" s="1"/>
  <c r="E20" i="11"/>
  <c r="I20" i="11" s="1"/>
  <c r="D20" i="11"/>
  <c r="H20" i="11" s="1"/>
  <c r="F19" i="11"/>
  <c r="J19" i="11" s="1"/>
  <c r="E19" i="11"/>
  <c r="I19" i="11" s="1"/>
  <c r="D19" i="11"/>
  <c r="H19" i="11" s="1"/>
  <c r="F18" i="11"/>
  <c r="J18" i="11" s="1"/>
  <c r="E18" i="11"/>
  <c r="I18" i="11" s="1"/>
  <c r="D18" i="11"/>
  <c r="D17" i="11"/>
  <c r="H17" i="11" s="1"/>
  <c r="F17" i="11"/>
  <c r="J17" i="11" s="1"/>
  <c r="E17" i="11"/>
  <c r="I17" i="11" s="1"/>
  <c r="C21" i="6"/>
  <c r="D40" i="11" l="1"/>
  <c r="F8" i="24"/>
  <c r="F9" i="24" s="1"/>
  <c r="F17" i="24" s="1"/>
  <c r="D17" i="24" s="1"/>
  <c r="D9" i="21"/>
  <c r="E47" i="13"/>
  <c r="E46" i="13"/>
  <c r="E48" i="13"/>
  <c r="E40" i="13"/>
  <c r="E45" i="13"/>
  <c r="G46" i="13"/>
  <c r="G47" i="13"/>
  <c r="G45" i="13"/>
  <c r="G48" i="13"/>
  <c r="F45" i="13"/>
  <c r="F48" i="13"/>
  <c r="F47" i="13"/>
  <c r="F46" i="13"/>
  <c r="F6" i="22"/>
  <c r="D22" i="11"/>
  <c r="H18" i="11"/>
  <c r="H22" i="11" s="1"/>
  <c r="E1" i="10"/>
  <c r="E1" i="8"/>
  <c r="D1" i="6"/>
  <c r="C30" i="11" l="1"/>
  <c r="E30" i="11" s="1"/>
  <c r="G40" i="13"/>
  <c r="F40" i="13"/>
  <c r="C42" i="11" s="1"/>
  <c r="H43" i="11"/>
  <c r="H41" i="11"/>
  <c r="H40" i="11"/>
  <c r="H39" i="11"/>
  <c r="D37" i="11"/>
  <c r="H37" i="11" s="1"/>
  <c r="F7" i="8"/>
  <c r="F23" i="8"/>
  <c r="D16" i="8"/>
  <c r="F16" i="8" s="1"/>
  <c r="G8" i="8"/>
  <c r="G7" i="8"/>
  <c r="C34" i="6"/>
  <c r="E34" i="6" s="1"/>
  <c r="C29" i="6"/>
  <c r="E29" i="6" s="1"/>
  <c r="E21" i="6"/>
  <c r="C15" i="6"/>
  <c r="E15" i="6" s="1"/>
  <c r="C11" i="6"/>
  <c r="E11" i="6" s="1"/>
  <c r="D30" i="11" l="1"/>
  <c r="D23" i="8"/>
  <c r="D7" i="10" s="1"/>
  <c r="G23" i="8"/>
  <c r="E23" i="8" s="1"/>
  <c r="C7" i="10" s="1"/>
  <c r="D9" i="8"/>
  <c r="G9" i="8"/>
  <c r="F8" i="8"/>
  <c r="F9" i="8" s="1"/>
  <c r="F17" i="8" s="1"/>
  <c r="D17" i="8" s="1"/>
  <c r="D6" i="10" s="1"/>
  <c r="E9" i="8"/>
  <c r="D34" i="6"/>
  <c r="F34" i="6" s="1"/>
  <c r="D29" i="6"/>
  <c r="F29" i="6" s="1"/>
  <c r="D21" i="6"/>
  <c r="F21" i="6" s="1"/>
  <c r="E35" i="6"/>
  <c r="C35" i="6" s="1"/>
  <c r="D11" i="6"/>
  <c r="F11" i="6" s="1"/>
  <c r="D15" i="6"/>
  <c r="F15" i="6" s="1"/>
  <c r="K40" i="6" l="1"/>
  <c r="K39" i="6"/>
  <c r="C37" i="6" s="1"/>
  <c r="F7" i="10"/>
  <c r="F35" i="6"/>
  <c r="D35" i="6" s="1"/>
  <c r="D38" i="6" s="1"/>
  <c r="C5" i="10" s="1"/>
  <c r="K38" i="6" l="1"/>
  <c r="C38" i="6" s="1"/>
  <c r="D5" i="10" s="1"/>
  <c r="F5" i="10" s="1"/>
  <c r="I30" i="11"/>
  <c r="H30" i="11"/>
  <c r="I28" i="11"/>
  <c r="I27" i="11"/>
  <c r="H27" i="11"/>
  <c r="I26" i="11"/>
  <c r="E22" i="11" l="1"/>
  <c r="I22" i="11" s="1"/>
  <c r="D29" i="11"/>
  <c r="H28" i="11"/>
  <c r="H26" i="11"/>
  <c r="I29" i="11"/>
  <c r="I31" i="11" s="1"/>
  <c r="E29" i="11"/>
  <c r="H29" i="11" l="1"/>
  <c r="H31" i="11" s="1"/>
  <c r="D31" i="11" s="1"/>
  <c r="E31" i="11"/>
  <c r="E46" i="11" l="1"/>
  <c r="E37" i="11" l="1"/>
  <c r="I37" i="11" s="1"/>
  <c r="E16" i="8"/>
  <c r="G16" i="8" s="1"/>
  <c r="G17" i="8" s="1"/>
  <c r="E17" i="8" s="1"/>
  <c r="C6" i="10" s="1"/>
  <c r="F6" i="10" s="1"/>
  <c r="C34" i="18" l="1"/>
  <c r="C46" i="18" l="1"/>
  <c r="C57" i="18" l="1"/>
  <c r="C58" i="18" s="1"/>
  <c r="C59" i="18" s="1"/>
  <c r="E34" i="18" l="1"/>
  <c r="F34" i="18"/>
  <c r="D34" i="18"/>
  <c r="D42" i="11" l="1"/>
  <c r="H42" i="11" s="1"/>
  <c r="H44" i="11" s="1"/>
  <c r="H45" i="11" s="1"/>
  <c r="D45" i="11" s="1"/>
  <c r="D46" i="18"/>
  <c r="F46" i="18"/>
  <c r="E46" i="18"/>
  <c r="E42" i="11" l="1"/>
  <c r="E44" i="11" s="1"/>
  <c r="I44" i="11" s="1"/>
  <c r="I45" i="11" s="1"/>
  <c r="E45" i="11" s="1"/>
  <c r="C4" i="22" s="1"/>
  <c r="E57" i="18"/>
  <c r="F57" i="18"/>
  <c r="D44" i="11"/>
  <c r="D4" i="22"/>
  <c r="D4" i="10"/>
  <c r="D57" i="18"/>
  <c r="D58" i="18" s="1"/>
  <c r="D59" i="18" s="1"/>
  <c r="E58" i="18" l="1"/>
  <c r="E59" i="18" s="1"/>
  <c r="C4" i="10"/>
  <c r="F4" i="10" s="1"/>
  <c r="F8" i="10" s="1"/>
  <c r="A11" i="10" s="1"/>
  <c r="B11" i="10" s="1"/>
  <c r="C11" i="10" s="1"/>
  <c r="F4" i="22"/>
  <c r="F8" i="22" s="1"/>
  <c r="A11" i="22" s="1"/>
  <c r="B11" i="22" s="1"/>
  <c r="C11" i="22" s="1"/>
  <c r="C4" i="25"/>
  <c r="F8" i="25" s="1"/>
  <c r="A11" i="25" s="1"/>
  <c r="B11" i="25" s="1"/>
  <c r="C11" i="25" s="1"/>
  <c r="F58" i="18" l="1"/>
  <c r="F59" i="18" s="1"/>
</calcChain>
</file>

<file path=xl/sharedStrings.xml><?xml version="1.0" encoding="utf-8"?>
<sst xmlns="http://schemas.openxmlformats.org/spreadsheetml/2006/main" count="765" uniqueCount="453">
  <si>
    <t>2. BO/ZO:</t>
  </si>
  <si>
    <t>Date</t>
  </si>
  <si>
    <t>3. Constitution:</t>
  </si>
  <si>
    <t>4. Activity/Industry:</t>
  </si>
  <si>
    <t xml:space="preserve">5. Balance Sheet as at: </t>
  </si>
  <si>
    <t>Fund based</t>
  </si>
  <si>
    <t xml:space="preserve">  EXPOSURE [Higher of (i) or (ii)]</t>
  </si>
  <si>
    <t>Proposed Limits</t>
  </si>
  <si>
    <t>Parameter</t>
  </si>
  <si>
    <t>Score</t>
  </si>
  <si>
    <t>Current Ratio</t>
  </si>
  <si>
    <t>ROCE</t>
  </si>
  <si>
    <t>iv</t>
  </si>
  <si>
    <t>ii</t>
  </si>
  <si>
    <t>i</t>
  </si>
  <si>
    <t xml:space="preserve">(i)   Sanctioned Limits  :                 </t>
  </si>
  <si>
    <t xml:space="preserve">(ii)  Outstandings  as on </t>
  </si>
  <si>
    <t>TOL / TNW</t>
  </si>
  <si>
    <t>Co’s value (based on last year's financials)</t>
  </si>
  <si>
    <t>DSCR</t>
  </si>
  <si>
    <t>Weight</t>
  </si>
  <si>
    <t>Expectation of future performance</t>
  </si>
  <si>
    <t>Impact of contingent liabilities/Foreign Exchange risk</t>
  </si>
  <si>
    <t>Imapct of expansion/Restructuring on key financials</t>
  </si>
  <si>
    <t xml:space="preserve">     a) Current ratio</t>
  </si>
  <si>
    <t xml:space="preserve">     b) TOL/TNW</t>
  </si>
  <si>
    <t xml:space="preserve">     c) ROCE</t>
  </si>
  <si>
    <t>iii</t>
  </si>
  <si>
    <t>Cashflow adequacy</t>
  </si>
  <si>
    <t>Total score under (2)</t>
  </si>
  <si>
    <t>Transparency in accounting</t>
  </si>
  <si>
    <t>Qualiy of inventory</t>
  </si>
  <si>
    <t>Realisibility of debtors</t>
  </si>
  <si>
    <t>Trends in financial performance</t>
  </si>
  <si>
    <t>Net sales</t>
  </si>
  <si>
    <t>(PBDT - Non recurring income and expenses) / Net sales</t>
  </si>
  <si>
    <t>TNW / TOL</t>
  </si>
  <si>
    <t>v</t>
  </si>
  <si>
    <t>Net sales / Short term bank borrowing</t>
  </si>
  <si>
    <t>Total score under (3)</t>
  </si>
  <si>
    <t>Total score under (4)</t>
  </si>
  <si>
    <t>A]</t>
  </si>
  <si>
    <t>FINANCIAL STRENGTH</t>
  </si>
  <si>
    <t>B]</t>
  </si>
  <si>
    <t>vi</t>
  </si>
  <si>
    <t>Total score under (1)</t>
  </si>
  <si>
    <t>Pricing flexibility</t>
  </si>
  <si>
    <t>Total score under (5)</t>
  </si>
  <si>
    <t>Total score under financial strength</t>
  </si>
  <si>
    <t>C]</t>
  </si>
  <si>
    <t>Management evaluation</t>
  </si>
  <si>
    <t>Achievement of targets</t>
  </si>
  <si>
    <t>Achievement of sales target</t>
  </si>
  <si>
    <t>Achievement of PBT target</t>
  </si>
  <si>
    <t>Assessment of management</t>
  </si>
  <si>
    <t>Management setup</t>
  </si>
  <si>
    <t>Committment and sincerity</t>
  </si>
  <si>
    <t>Track record in debt repayment</t>
  </si>
  <si>
    <t>Track record in industrial relations</t>
  </si>
  <si>
    <t>Financial strength / Flexibility</t>
  </si>
  <si>
    <t>Aggregate score under management evaluation</t>
  </si>
  <si>
    <t>D]</t>
  </si>
  <si>
    <t>Conduct of account</t>
  </si>
  <si>
    <t>Status of account</t>
  </si>
  <si>
    <t>Operations in account</t>
  </si>
  <si>
    <t>Submission of financial data / Statements</t>
  </si>
  <si>
    <t>Aggregate score under conduct of account</t>
  </si>
  <si>
    <t>Rating score</t>
  </si>
  <si>
    <t>Financial strength</t>
  </si>
  <si>
    <t>Business performance</t>
  </si>
  <si>
    <t>Actual company score</t>
  </si>
  <si>
    <t>Weighted score</t>
  </si>
  <si>
    <t>Input related risk</t>
  </si>
  <si>
    <t>Availability of raw material and other critical inputs</t>
  </si>
  <si>
    <t>Availability of alternate raw material/fuel</t>
  </si>
  <si>
    <t>Management of price volatility</t>
  </si>
  <si>
    <t>Reliable vendor base for components/services</t>
  </si>
  <si>
    <t>Dependence on imports</t>
  </si>
  <si>
    <t>Proximity to raw material sources</t>
  </si>
  <si>
    <t>Production related risk</t>
  </si>
  <si>
    <t>Capacity utilisation</t>
  </si>
  <si>
    <t>State of technology used</t>
  </si>
  <si>
    <t>Product related risk</t>
  </si>
  <si>
    <t>Expected demand and supply position</t>
  </si>
  <si>
    <t>Product quality</t>
  </si>
  <si>
    <t>Highly customised product</t>
  </si>
  <si>
    <t>Threat of substitution/obsolescence</t>
  </si>
  <si>
    <t>Market related risk</t>
  </si>
  <si>
    <t>Selling and distribution network</t>
  </si>
  <si>
    <t>Long term contracts / assured offtake</t>
  </si>
  <si>
    <t>Geographical diversity of market</t>
  </si>
  <si>
    <t>Proximity to market</t>
  </si>
  <si>
    <t>Advertising / other promotional strategies</t>
  </si>
  <si>
    <t>Regulatory and other risks</t>
  </si>
  <si>
    <t>Threat from environmental factors</t>
  </si>
  <si>
    <t>Vulnerability to event risk</t>
  </si>
  <si>
    <t>Regional rating of provinces</t>
  </si>
  <si>
    <t>Quality of investments/loans and advances</t>
  </si>
  <si>
    <t>Quality of financials</t>
  </si>
  <si>
    <t>Simple Average score under (ii)</t>
  </si>
  <si>
    <t>Weighted average score under (1)</t>
  </si>
  <si>
    <t>(Inventory + Receivables) / Monthly net sales</t>
  </si>
  <si>
    <t>Past Financial Performance</t>
  </si>
  <si>
    <t>Sr. No.</t>
  </si>
  <si>
    <t>Total</t>
  </si>
  <si>
    <t>Non Fund based</t>
  </si>
  <si>
    <t>5. Exposure:   (SLR mill)</t>
  </si>
  <si>
    <t>Sr No.</t>
  </si>
  <si>
    <t>Credit Risk Rating Report for Borrowal Accounts availing aggregate( FB &amp; NFB) Limits  Above SLR --- mill or Sales turnover Above SLR --- mill.</t>
  </si>
  <si>
    <t>Score out of</t>
  </si>
  <si>
    <t>1. Name of borrower</t>
  </si>
  <si>
    <t>Name of borrower</t>
  </si>
  <si>
    <t>BUSINESS PERFORMANCE - MANUFACTURING SECTOR</t>
  </si>
  <si>
    <t>MANAGEMENT EVALUATION &amp; CONDUCT OF ACCOUNT - MANUFACTURING SECTOR</t>
  </si>
  <si>
    <t>PAN ASIA BANKING CORPORATION PLC</t>
  </si>
  <si>
    <t xml:space="preserve"> </t>
  </si>
  <si>
    <t>RATING SHEET - MANUFACTURING SECTOR</t>
  </si>
  <si>
    <t>Co’s value (based on last year's projections)</t>
  </si>
  <si>
    <t>Score %</t>
  </si>
  <si>
    <t>Credit Rating</t>
  </si>
  <si>
    <t>Risk Profile</t>
  </si>
  <si>
    <t>Total score from (1) to (5)</t>
  </si>
  <si>
    <r>
      <t>Industry outlook - Expected in next 12 months</t>
    </r>
    <r>
      <rPr>
        <b/>
        <sz val="9"/>
        <rFont val="Arial"/>
        <family val="2"/>
      </rPr>
      <t xml:space="preserve"> (Select appropriate option from below dropdown)</t>
    </r>
  </si>
  <si>
    <t>Total score under business performance</t>
  </si>
  <si>
    <t>Ind Outlk</t>
  </si>
  <si>
    <t>To do well</t>
  </si>
  <si>
    <t>To remain stagnant</t>
  </si>
  <si>
    <t>To have declining performance</t>
  </si>
  <si>
    <t>Not applicable</t>
  </si>
  <si>
    <t>Data not available</t>
  </si>
  <si>
    <t>-</t>
  </si>
  <si>
    <t>BORROWER NAME</t>
  </si>
  <si>
    <t>FSS</t>
  </si>
  <si>
    <t>Audited</t>
  </si>
  <si>
    <t>Draft</t>
  </si>
  <si>
    <t>Interim</t>
  </si>
  <si>
    <t>Management</t>
  </si>
  <si>
    <t>TO</t>
  </si>
  <si>
    <t>FINANCIAL STATEMENT PERIOD
(Financial Year)</t>
  </si>
  <si>
    <t>PREPARED BY</t>
  </si>
  <si>
    <t>REVIEWED BY</t>
  </si>
  <si>
    <t>ASSETS</t>
  </si>
  <si>
    <t>Total inventory</t>
  </si>
  <si>
    <t>Plant &amp; machinery</t>
  </si>
  <si>
    <t>TOTAL ASSETS</t>
  </si>
  <si>
    <t>Interest payable</t>
  </si>
  <si>
    <t>Total Equity</t>
  </si>
  <si>
    <t>Sales /revenue</t>
  </si>
  <si>
    <t>Raw materials consumed</t>
  </si>
  <si>
    <t>Other manufacturing expenses</t>
  </si>
  <si>
    <t>Administrative expenses</t>
  </si>
  <si>
    <t>Selling &amp; distribution expenses</t>
  </si>
  <si>
    <t>Operating lease expenses</t>
  </si>
  <si>
    <t>Retained profit</t>
  </si>
  <si>
    <t>Less: Tax paid</t>
  </si>
  <si>
    <t>Add: Non-cash Items</t>
  </si>
  <si>
    <t>Changes in Inventories</t>
  </si>
  <si>
    <t>Changes in Account Receivables</t>
  </si>
  <si>
    <t>Changes in Account Payables</t>
  </si>
  <si>
    <t>Change in other Current Assets</t>
  </si>
  <si>
    <t>Change in other Current Liabilities</t>
  </si>
  <si>
    <t>Financial Payments</t>
  </si>
  <si>
    <t>+(-) Change in Short-term debts</t>
  </si>
  <si>
    <t>+(-) Change in Long-term debts</t>
  </si>
  <si>
    <t>(-)Dividend paid</t>
  </si>
  <si>
    <t>Change in Balance of Cash(Actual)</t>
  </si>
  <si>
    <t>A) Cashflow from operating activities</t>
  </si>
  <si>
    <t>Operating profit after tax</t>
  </si>
  <si>
    <t>B) Cash flow from investing activity</t>
  </si>
  <si>
    <t>C) Cashflow from financing activities</t>
  </si>
  <si>
    <t>Total non-cash items</t>
  </si>
  <si>
    <t>Ratios</t>
  </si>
  <si>
    <t>ratios</t>
  </si>
  <si>
    <t>Current Assets</t>
  </si>
  <si>
    <t>Cash and cash equivalents</t>
  </si>
  <si>
    <t>Trade receivables</t>
  </si>
  <si>
    <t>Inventories / Stocks</t>
  </si>
  <si>
    <t>a) Raw material</t>
  </si>
  <si>
    <t>b) Work in progress</t>
  </si>
  <si>
    <t>c) Finished goods</t>
  </si>
  <si>
    <t>d) Stores and spares</t>
  </si>
  <si>
    <t>Dues from related Companies</t>
  </si>
  <si>
    <t>Advance tax paid</t>
  </si>
  <si>
    <t>Prepaid Expenses</t>
  </si>
  <si>
    <t>Other current assets</t>
  </si>
  <si>
    <t>Total Current Assets</t>
  </si>
  <si>
    <t>Non-Current Assets</t>
  </si>
  <si>
    <t>Freehold Land &amp; Building</t>
  </si>
  <si>
    <t>Equipement, Motor Vehicles &amp; Others</t>
  </si>
  <si>
    <t>Leasehold Fixed Assets</t>
  </si>
  <si>
    <t>Total fixed asset at cost</t>
  </si>
  <si>
    <t>Net Fixed Assets</t>
  </si>
  <si>
    <t>Investments in Subsidiries</t>
  </si>
  <si>
    <t>Investments in Associates</t>
  </si>
  <si>
    <t>Other investments</t>
  </si>
  <si>
    <t>Deffered Expenditure</t>
  </si>
  <si>
    <t>Deffered tax asset</t>
  </si>
  <si>
    <t>Other non-current assets</t>
  </si>
  <si>
    <t>Total Non-Current Assets</t>
  </si>
  <si>
    <t>Share Capital</t>
  </si>
  <si>
    <t>Revenue Reserves</t>
  </si>
  <si>
    <t>Other Reserves</t>
  </si>
  <si>
    <t>Retained Earnings</t>
  </si>
  <si>
    <t>Preference Shares</t>
  </si>
  <si>
    <t>Minority Interest</t>
  </si>
  <si>
    <t>Long Term borrowings</t>
  </si>
  <si>
    <t>Long Term provisions</t>
  </si>
  <si>
    <t>Leases</t>
  </si>
  <si>
    <t>Other long term liabilites</t>
  </si>
  <si>
    <t>Non-Current Liabilities</t>
  </si>
  <si>
    <t>Current Liabilities</t>
  </si>
  <si>
    <t>Current portion of long term borrowings</t>
  </si>
  <si>
    <t>Dues to related companies</t>
  </si>
  <si>
    <t>Other current liabilities</t>
  </si>
  <si>
    <t>Short term bank borrowings</t>
  </si>
  <si>
    <t>TOTAL EQUITY AND LIABILITIES</t>
  </si>
  <si>
    <t>EQUITY AND LIABILITIES</t>
  </si>
  <si>
    <t>Deffered Tax liabilities</t>
  </si>
  <si>
    <t>Total Current liabilities</t>
  </si>
  <si>
    <t>Checksum(Always should be zero)</t>
  </si>
  <si>
    <t>Cumulative Depreciation</t>
  </si>
  <si>
    <t>In LKR Thousands</t>
  </si>
  <si>
    <t>Audited (A)/ Draft (D)/ Interim (I)/ Mgmt (M)</t>
  </si>
  <si>
    <t>Qualified (Y/N)</t>
  </si>
  <si>
    <t>Period (No. of Months)</t>
  </si>
  <si>
    <t>A</t>
  </si>
  <si>
    <t>D</t>
  </si>
  <si>
    <t>I</t>
  </si>
  <si>
    <t>M</t>
  </si>
  <si>
    <t>Qualified</t>
  </si>
  <si>
    <t>Y</t>
  </si>
  <si>
    <t>N</t>
  </si>
  <si>
    <t>Total operating expenses</t>
  </si>
  <si>
    <t>Interest expense</t>
  </si>
  <si>
    <t>Interest Income</t>
  </si>
  <si>
    <t>Other income</t>
  </si>
  <si>
    <t>Income tax</t>
  </si>
  <si>
    <t>Extraordinary income</t>
  </si>
  <si>
    <t>Extraordinary expense</t>
  </si>
  <si>
    <t>Dividends / Drawings</t>
  </si>
  <si>
    <t>Other non-cash items</t>
  </si>
  <si>
    <t>+(-) Change in Goodwill &amp; Intangibles</t>
  </si>
  <si>
    <t>+(-) Change in other non-current assets</t>
  </si>
  <si>
    <t>Interest receivable</t>
  </si>
  <si>
    <t>Share premium</t>
  </si>
  <si>
    <t>Accrued expenses</t>
  </si>
  <si>
    <t>RATIO COMPARISON</t>
  </si>
  <si>
    <t>COMMENTARY</t>
  </si>
  <si>
    <t>Liquidity</t>
  </si>
  <si>
    <t>Formula</t>
  </si>
  <si>
    <t>Current ratio</t>
  </si>
  <si>
    <t>Gross profit</t>
  </si>
  <si>
    <t>Profits or Loss before Tax</t>
  </si>
  <si>
    <t>Net profit/loss after tax</t>
  </si>
  <si>
    <t>Gross profit margin %</t>
  </si>
  <si>
    <t>Net Profit Margin %</t>
  </si>
  <si>
    <t>Capital structure</t>
  </si>
  <si>
    <t>Net Worth</t>
  </si>
  <si>
    <t>Leverage</t>
  </si>
  <si>
    <t>Debt to Equity (Gearing)</t>
  </si>
  <si>
    <t>Equity + Minority Interest</t>
  </si>
  <si>
    <t>CA - CL</t>
  </si>
  <si>
    <t>CA/CL</t>
  </si>
  <si>
    <t>Liquid Ratio</t>
  </si>
  <si>
    <t>Turnover period</t>
  </si>
  <si>
    <t>Debtor Turnover (Days)</t>
  </si>
  <si>
    <t>Supplier Credit  (Days)</t>
  </si>
  <si>
    <t>Debt servicing</t>
  </si>
  <si>
    <t>Debt Service Coverage Ratio</t>
  </si>
  <si>
    <t>Interest Cover (no. of times)</t>
  </si>
  <si>
    <t>Return on capital employed</t>
  </si>
  <si>
    <t>Operational efficiency</t>
  </si>
  <si>
    <t>SECTOR</t>
  </si>
  <si>
    <t>BUSINESS PERFORMANCE - SERVICE SECTOR</t>
  </si>
  <si>
    <t>Competitive position</t>
  </si>
  <si>
    <t>Expected growth</t>
  </si>
  <si>
    <t>Core competency</t>
  </si>
  <si>
    <t>Market segment / Niche area</t>
  </si>
  <si>
    <t>Locational advantage / Delivery of services</t>
  </si>
  <si>
    <t>Market dominance</t>
  </si>
  <si>
    <t>Infrastructure available</t>
  </si>
  <si>
    <t>Quality of basic infrastructure</t>
  </si>
  <si>
    <t>Attitude and skills of employees</t>
  </si>
  <si>
    <t>Agency / Back up arrangements</t>
  </si>
  <si>
    <t>Internal systems and procedures</t>
  </si>
  <si>
    <t>Technology adapted in the process</t>
  </si>
  <si>
    <t>Service related factors</t>
  </si>
  <si>
    <t>Occupancy / Utlization rate</t>
  </si>
  <si>
    <t>Quality of services offered</t>
  </si>
  <si>
    <t>Range of services</t>
  </si>
  <si>
    <t>Customer's perceived value</t>
  </si>
  <si>
    <t>Level of customer satisfaction</t>
  </si>
  <si>
    <t>Services features and packaging of allied benefits</t>
  </si>
  <si>
    <t>vii</t>
  </si>
  <si>
    <t>Level of standardization and homogeneity of services</t>
  </si>
  <si>
    <t>Price competitiveness</t>
  </si>
  <si>
    <t>Economies of operations</t>
  </si>
  <si>
    <t>Brand equity / Image of company</t>
  </si>
  <si>
    <t>Ability to extend credit</t>
  </si>
  <si>
    <t>Market related factors</t>
  </si>
  <si>
    <t>Ambience of service outlet and accessibility to desired service</t>
  </si>
  <si>
    <t>Distribution channels / Supply chain</t>
  </si>
  <si>
    <t>Effectiveness of distribution channels for target customer</t>
  </si>
  <si>
    <t>Extent of loyal customer base / Customer loyalty</t>
  </si>
  <si>
    <t>Tie - up arrangements / Joint venture / Franchise</t>
  </si>
  <si>
    <t>Advertising / Other promotional strategies</t>
  </si>
  <si>
    <t>MANAGEMENT EVALUATION &amp; CONDUCT OF ACCOUNT - SERVICE SECTOR</t>
  </si>
  <si>
    <t>RATING SHEET - SERVICE SECTOR</t>
  </si>
  <si>
    <t>BUSINESS PERFORMANCE - TRADING SECTOR</t>
  </si>
  <si>
    <t>Procurement related risks</t>
  </si>
  <si>
    <t>Availability and accessibility to merchandise</t>
  </si>
  <si>
    <t>Effeciency in procurement</t>
  </si>
  <si>
    <t>Ability to manage procurement prices</t>
  </si>
  <si>
    <t>Import related risks</t>
  </si>
  <si>
    <t>Merchandise related risk</t>
  </si>
  <si>
    <t>Product range / Specialization</t>
  </si>
  <si>
    <t>Nature of merchandise</t>
  </si>
  <si>
    <t>Market related risks</t>
  </si>
  <si>
    <t>Location / Ambience of firm's premises</t>
  </si>
  <si>
    <t>Marketing network</t>
  </si>
  <si>
    <t>Image / reputation of firm</t>
  </si>
  <si>
    <t>Sales promotion strategies</t>
  </si>
  <si>
    <t>Other external risks</t>
  </si>
  <si>
    <t>Extent of competition</t>
  </si>
  <si>
    <t>Government regulation / Tax structure</t>
  </si>
  <si>
    <t>Impact of economic conditions</t>
  </si>
  <si>
    <t>Total score from (1) to (4)</t>
  </si>
  <si>
    <t>MANAGEMENT EVALUATION &amp; CONDUCT OF ACCOUNT - TRADING SECTOR</t>
  </si>
  <si>
    <t>RATING SHEET - TRADING SECTOR</t>
  </si>
  <si>
    <t>MANUFACTURING</t>
  </si>
  <si>
    <t>SERVICE</t>
  </si>
  <si>
    <t>TRADING</t>
  </si>
  <si>
    <t>Projection vs Actual</t>
  </si>
  <si>
    <t>IN PROCESS</t>
  </si>
  <si>
    <t>DONE</t>
  </si>
  <si>
    <t>STATUS</t>
  </si>
  <si>
    <t>P</t>
  </si>
  <si>
    <t>Projected</t>
  </si>
  <si>
    <t>PERCENTAGE ANALYSIS W.R.T TOTAL ASSETS</t>
  </si>
  <si>
    <t>Current portion of long term obligations</t>
  </si>
  <si>
    <t>Current portion of other long term obligations</t>
  </si>
  <si>
    <t>Trade payables</t>
  </si>
  <si>
    <t>Income tax payable</t>
  </si>
  <si>
    <t>Other long term obligations</t>
  </si>
  <si>
    <t>YEAR</t>
  </si>
  <si>
    <t>Other operating expenses</t>
  </si>
  <si>
    <t>Operating Profits/Losses</t>
  </si>
  <si>
    <t>Other expenses</t>
  </si>
  <si>
    <t>PERCENTAGE ANALYSIS W.R.T SALES/REVENUE</t>
  </si>
  <si>
    <t>NOT AVAILABLE</t>
  </si>
  <si>
    <t>AVAILABLE</t>
  </si>
  <si>
    <t>NEXT FINANCIAL YEAR PROJECTIONS
(Financial Year)</t>
  </si>
  <si>
    <t>Operating profit</t>
  </si>
  <si>
    <t>Other non-cash items(Provisions,deferred charges etc)</t>
  </si>
  <si>
    <t>Gross operating Cash Flow (I)</t>
  </si>
  <si>
    <t>+(-) Changes in working Investment</t>
  </si>
  <si>
    <t>Changes in Accrued Expenses</t>
  </si>
  <si>
    <t>Sub-Total of Working Investment</t>
  </si>
  <si>
    <t>Sub-Total of W.I. &amp; W.C. (II)</t>
  </si>
  <si>
    <t>Net Operating Cash Flow (I+II) = III</t>
  </si>
  <si>
    <t>Current portion of long term borrowing</t>
  </si>
  <si>
    <t>(-) Capital expenditure</t>
  </si>
  <si>
    <t>Amortization</t>
  </si>
  <si>
    <t>Depreciation</t>
  </si>
  <si>
    <t>Intangible assets</t>
  </si>
  <si>
    <t>+(-) Change in investments in subsidiaries/associates</t>
  </si>
  <si>
    <t>+(-) Change in other investments</t>
  </si>
  <si>
    <t>+(-) Change in interest income</t>
  </si>
  <si>
    <t>+(-) Change in other income/expenses</t>
  </si>
  <si>
    <t>Equity Capital</t>
  </si>
  <si>
    <t>Addition in equity/preference capital</t>
  </si>
  <si>
    <t>+(-) Change in Other long term obligations</t>
  </si>
  <si>
    <t>+(-) Change in Share Premium</t>
  </si>
  <si>
    <t>+(-) Change in long term provisions</t>
  </si>
  <si>
    <t>+(-) Change in Deferred expenditure</t>
  </si>
  <si>
    <t>Checksum</t>
  </si>
  <si>
    <t>Gross profit / Sales</t>
  </si>
  <si>
    <t>Net profit / Sales</t>
  </si>
  <si>
    <t>Cash flow to Sales</t>
  </si>
  <si>
    <t>Net operating CF/Sales</t>
  </si>
  <si>
    <t>Operating profit margin %</t>
  </si>
  <si>
    <t>Operating profit / Sales</t>
  </si>
  <si>
    <t>Total Non-Current Liabilities</t>
  </si>
  <si>
    <t>PBIT / Capital Employed</t>
  </si>
  <si>
    <t>Cash Flow based ratios</t>
  </si>
  <si>
    <t>Quality of earnings</t>
  </si>
  <si>
    <t>Cash flow interest coverage ratio</t>
  </si>
  <si>
    <t>Net OP CF/Interest expense</t>
  </si>
  <si>
    <t>Cash flow DSCR</t>
  </si>
  <si>
    <t>Net OP CF/(Interest expense+CPLTD+CPLO)</t>
  </si>
  <si>
    <t>TOL/TNW</t>
  </si>
  <si>
    <t>Total interest carrying debt/TNW</t>
  </si>
  <si>
    <t>Net Working capital</t>
  </si>
  <si>
    <t>Inventory Turnover (Days)</t>
  </si>
  <si>
    <t>Inventory/Sales*no. of days</t>
  </si>
  <si>
    <t>Receivables /Sales*no. of days</t>
  </si>
  <si>
    <t>Payables / Sales * no. of days</t>
  </si>
  <si>
    <t>Cash+Trade receivables/CL</t>
  </si>
  <si>
    <t>GROWTH ANALYSIS</t>
  </si>
  <si>
    <r>
      <t xml:space="preserve">Period (No. of Days) </t>
    </r>
    <r>
      <rPr>
        <b/>
        <u/>
        <sz val="9"/>
        <color rgb="FF002060"/>
        <rFont val="Arial"/>
        <family val="2"/>
      </rPr>
      <t>[Months x 30 days]</t>
    </r>
  </si>
  <si>
    <t>Ratios calculated automatically from the financial statements</t>
  </si>
  <si>
    <t>Data should be entered manually</t>
  </si>
  <si>
    <t>Worksheet</t>
  </si>
  <si>
    <t>Field</t>
  </si>
  <si>
    <t>Cover page</t>
  </si>
  <si>
    <t>Instruction</t>
  </si>
  <si>
    <t>Borrower name</t>
  </si>
  <si>
    <t>Sector</t>
  </si>
  <si>
    <t>Financial statement period</t>
  </si>
  <si>
    <t>Prepared by</t>
  </si>
  <si>
    <t>Reviewed by</t>
  </si>
  <si>
    <t>Enter prepared by name.</t>
  </si>
  <si>
    <t>Enter reviewed by name.</t>
  </si>
  <si>
    <t>Financial projection for previous year</t>
  </si>
  <si>
    <t>Next financial year projection</t>
  </si>
  <si>
    <t>i) This cell should not be left blank. If left blank, then financial projection for next year will be disabled in subsequent worksheets.
ii) Projection year should be actual last financial year available plus one year.</t>
  </si>
  <si>
    <t>Status</t>
  </si>
  <si>
    <t>Balance Sheet</t>
  </si>
  <si>
    <t>Balance Sheet/IS</t>
  </si>
  <si>
    <t>Growth analysis</t>
  </si>
  <si>
    <t>YoY growth for each line item.</t>
  </si>
  <si>
    <t>Income Statement</t>
  </si>
  <si>
    <t>In case, only sales and PBT projections are provided by management, then enter dummy data to arrive at equivalent PBT. In such cases, ignore checksum in cash flow statement for projection year.</t>
  </si>
  <si>
    <t>Ratio Analysis</t>
  </si>
  <si>
    <t>Commentary</t>
  </si>
  <si>
    <t>Use this space to mention insights/observations, although not mandatory.</t>
  </si>
  <si>
    <t xml:space="preserve">i) This cell should not be left blank. Select appropriate dropdown as per the borrower's sector and click on any worksheet.
ii) Business performance, Mgt Eval &amp; Conduct of account and rating worksheet will be available only as per the sector selected. </t>
  </si>
  <si>
    <t>i) Both, start and end year should not be left blank. Enter start and end of actual financial year of the statements to be analysed.
ii) Year on subsequent statements will be updated based on these cells.
iii) Start year needs to be from year 2014 and onwards. Years earlier than 2014 are not accepted.
iv) Actual data for maximum past four years can be entered.</t>
  </si>
  <si>
    <t>This cell should not be left blank. If "Not Available" is selected" then parameters 1(i) and 1(ii) under Management evaluation will be scored as zero.</t>
  </si>
  <si>
    <t>Select "Done" once rating exercise is completed and reviewed. Date will be updated automatically.</t>
  </si>
  <si>
    <t>Enter manually. Last column should be used for next year projections.</t>
  </si>
  <si>
    <t>Enter manually.</t>
  </si>
  <si>
    <t>Management Evaluation: financial projections for previous F.Y.</t>
  </si>
  <si>
    <t>Management Evaluation:  financial projections for previous F.Y.</t>
  </si>
  <si>
    <t>Operating Instructions</t>
  </si>
  <si>
    <t>This cell should not be left blank. Name entered in this cell will be copied on rest of the worksheets.</t>
  </si>
  <si>
    <t>Total Financial Obligations (IV)</t>
  </si>
  <si>
    <t>Net cash (used)/from investing activites VI</t>
  </si>
  <si>
    <t>Net cash flow from operations after Financial payments (III+IV)=V</t>
  </si>
  <si>
    <t>Cash generated before Financing (V+VI) = VII</t>
  </si>
  <si>
    <t>Net Cash Flow from Financing (VIII)</t>
  </si>
  <si>
    <t>Cash surplus/deficit (VII+VIII)</t>
  </si>
  <si>
    <t>(EBIDT/Interest)</t>
  </si>
  <si>
    <t>EBID/(Interest + Installments)</t>
  </si>
  <si>
    <t>Net Sales (Trend)</t>
  </si>
  <si>
    <t>PAT/Net operating CF</t>
  </si>
  <si>
    <t>(PBDT-Non Recurring income/Exp)/Net Sales Ratio</t>
  </si>
  <si>
    <t>Tangible Net worth/Total Outside Liabilities Ratio</t>
  </si>
  <si>
    <t>Net Op. CF/LT and ST obligations during the year</t>
  </si>
  <si>
    <t>Trend in CF adequacy</t>
  </si>
  <si>
    <t>DEMO - CREDIT RISK RATING FOR CORPORATES</t>
  </si>
  <si>
    <t>Complete score and evaluation available in paid version</t>
  </si>
  <si>
    <t>from Risk Management Associate, Pune, India.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</si>
</sst>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_);\(0\)"/>
  </numFmts>
  <fonts count="49" x14ac:knownFonts="1">
    <font>
      <sz val="11"/>
      <color theme="1"/>
      <name val="Calibri"/>
      <family val="2"/>
      <scheme val="minor"/>
    </font>
    <font>
      <sz val="10"/>
      <name val="Arial"/>
      <family val="2"/>
    </font>
    <font>
      <b/>
      <sz val="9"/>
      <name val="Arial"/>
      <family val="2"/>
    </font>
    <font>
      <sz val="9"/>
      <name val="Arial"/>
      <family val="2"/>
    </font>
    <font>
      <b/>
      <u/>
      <sz val="9"/>
      <name val="Arial"/>
      <family val="2"/>
    </font>
    <font>
      <sz val="9"/>
      <color theme="1"/>
      <name val="Arial"/>
      <family val="2"/>
    </font>
    <font>
      <sz val="11"/>
      <color theme="1"/>
      <name val="Calibri"/>
      <family val="2"/>
      <scheme val="minor"/>
    </font>
    <font>
      <b/>
      <u/>
      <sz val="11"/>
      <color theme="1"/>
      <name val="Calibri"/>
      <family val="2"/>
      <scheme val="minor"/>
    </font>
    <font>
      <b/>
      <sz val="11"/>
      <color theme="1"/>
      <name val="Calibri"/>
      <family val="2"/>
      <scheme val="minor"/>
    </font>
    <font>
      <b/>
      <u/>
      <sz val="11"/>
      <color theme="0"/>
      <name val="Arial"/>
      <family val="2"/>
    </font>
    <font>
      <b/>
      <sz val="11"/>
      <name val="Arial"/>
      <family val="2"/>
    </font>
    <font>
      <sz val="9"/>
      <color theme="0"/>
      <name val="Arial"/>
      <family val="2"/>
    </font>
    <font>
      <sz val="11"/>
      <name val="Calibri"/>
      <family val="2"/>
      <scheme val="minor"/>
    </font>
    <font>
      <b/>
      <sz val="12"/>
      <name val="Arial"/>
      <family val="2"/>
    </font>
    <font>
      <sz val="12"/>
      <color theme="1"/>
      <name val="Calibri"/>
      <family val="2"/>
      <scheme val="minor"/>
    </font>
    <font>
      <sz val="12"/>
      <name val="Arial"/>
      <family val="2"/>
    </font>
    <font>
      <sz val="11"/>
      <color theme="0"/>
      <name val="Calibri"/>
      <family val="2"/>
      <scheme val="minor"/>
    </font>
    <font>
      <b/>
      <sz val="9"/>
      <color theme="0"/>
      <name val="Arial"/>
      <family val="2"/>
    </font>
    <font>
      <b/>
      <sz val="18"/>
      <color theme="3"/>
      <name val="Cambria"/>
      <family val="2"/>
      <scheme val="major"/>
    </font>
    <font>
      <sz val="11"/>
      <color rgb="FF002060"/>
      <name val="Calibri"/>
      <family val="2"/>
      <scheme val="minor"/>
    </font>
    <font>
      <sz val="11"/>
      <color rgb="FFFF0000"/>
      <name val="Calibri"/>
      <family val="2"/>
      <scheme val="minor"/>
    </font>
    <font>
      <b/>
      <sz val="18"/>
      <color indexed="9"/>
      <name val="Calibri"/>
      <family val="2"/>
    </font>
    <font>
      <b/>
      <sz val="18"/>
      <color rgb="FFFF0000"/>
      <name val="Calibri"/>
      <family val="2"/>
    </font>
    <font>
      <sz val="14"/>
      <color rgb="FFFF0000"/>
      <name val="Calibri"/>
      <family val="2"/>
    </font>
    <font>
      <b/>
      <sz val="16"/>
      <color theme="3"/>
      <name val="Arial"/>
      <family val="2"/>
    </font>
    <font>
      <b/>
      <u/>
      <sz val="10"/>
      <color rgb="FF002060"/>
      <name val="Arial"/>
      <family val="2"/>
    </font>
    <font>
      <sz val="10"/>
      <color rgb="FF002060"/>
      <name val="Arial"/>
      <family val="2"/>
    </font>
    <font>
      <sz val="10"/>
      <color theme="1"/>
      <name val="Arial"/>
      <family val="2"/>
    </font>
    <font>
      <b/>
      <sz val="10"/>
      <color rgb="FF002060"/>
      <name val="Arial"/>
      <family val="2"/>
    </font>
    <font>
      <sz val="10"/>
      <color theme="1"/>
      <name val="Calibri"/>
      <family val="2"/>
      <scheme val="minor"/>
    </font>
    <font>
      <b/>
      <sz val="16"/>
      <color indexed="9"/>
      <name val="Arial"/>
      <family val="2"/>
    </font>
    <font>
      <b/>
      <sz val="9"/>
      <color theme="1"/>
      <name val="Arial"/>
      <family val="2"/>
    </font>
    <font>
      <b/>
      <sz val="9"/>
      <color theme="3"/>
      <name val="Arial"/>
      <family val="2"/>
    </font>
    <font>
      <sz val="9"/>
      <color indexed="8"/>
      <name val="Arial"/>
      <family val="2"/>
    </font>
    <font>
      <sz val="9"/>
      <color rgb="FFFF0000"/>
      <name val="Arial"/>
      <family val="2"/>
    </font>
    <font>
      <b/>
      <u/>
      <sz val="9"/>
      <color theme="1"/>
      <name val="Arial"/>
      <family val="2"/>
    </font>
    <font>
      <b/>
      <u/>
      <sz val="9"/>
      <color indexed="8"/>
      <name val="Arial"/>
      <family val="2"/>
    </font>
    <font>
      <sz val="9"/>
      <color rgb="FF002060"/>
      <name val="Arial"/>
      <family val="2"/>
    </font>
    <font>
      <b/>
      <sz val="9"/>
      <color rgb="FF002060"/>
      <name val="Arial"/>
      <family val="2"/>
    </font>
    <font>
      <b/>
      <sz val="11"/>
      <color rgb="FF002060"/>
      <name val="Calibri"/>
      <family val="2"/>
      <scheme val="minor"/>
    </font>
    <font>
      <sz val="10"/>
      <name val="Calibri"/>
      <family val="2"/>
      <scheme val="minor"/>
    </font>
    <font>
      <b/>
      <u/>
      <sz val="12"/>
      <color theme="1"/>
      <name val="Arial"/>
      <family val="2"/>
    </font>
    <font>
      <b/>
      <sz val="9"/>
      <color indexed="8"/>
      <name val="Arial"/>
      <family val="2"/>
    </font>
    <font>
      <b/>
      <sz val="11"/>
      <color theme="0"/>
      <name val="Calibri"/>
      <family val="2"/>
      <scheme val="minor"/>
    </font>
    <font>
      <sz val="12"/>
      <color theme="0"/>
      <name val="Calibri"/>
      <family val="2"/>
      <scheme val="minor"/>
    </font>
    <font>
      <sz val="10"/>
      <color theme="0"/>
      <name val="Arial"/>
      <family val="2"/>
    </font>
    <font>
      <b/>
      <u/>
      <sz val="9"/>
      <color rgb="FF002060"/>
      <name val="Arial"/>
      <family val="2"/>
    </font>
    <font>
      <b/>
      <sz val="20"/>
      <color theme="3"/>
      <name val="Cambria"/>
      <family val="2"/>
      <scheme val="major"/>
    </font>
    <font>
      <b/>
      <sz val="11"/>
      <name val="Calibri"/>
      <family val="2"/>
      <scheme val="minor"/>
    </font>
  </fonts>
  <fills count="15">
    <fill>
      <patternFill patternType="none"/>
    </fill>
    <fill>
      <patternFill patternType="gray125"/>
    </fill>
    <fill>
      <patternFill patternType="solid">
        <fgColor theme="8" tint="-0.49998474074526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4" tint="0.79998168889431442"/>
        <bgColor indexed="65"/>
      </patternFill>
    </fill>
    <fill>
      <patternFill patternType="solid">
        <fgColor rgb="FF002060"/>
        <bgColor indexed="64"/>
      </patternFill>
    </fill>
    <fill>
      <patternFill patternType="solid">
        <fgColor theme="4" tint="0.79998168889431442"/>
        <bgColor indexed="64"/>
      </patternFill>
    </fill>
    <fill>
      <patternFill patternType="solid">
        <fgColor indexed="23"/>
        <bgColor indexed="64"/>
      </patternFill>
    </fill>
    <fill>
      <patternFill patternType="solid">
        <fgColor theme="8"/>
        <bgColor indexed="64"/>
      </patternFill>
    </fill>
    <fill>
      <patternFill patternType="solid">
        <fgColor theme="9"/>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0"/>
        <bgColor indexed="64"/>
      </patternFill>
    </fill>
    <fill>
      <patternFill patternType="solid">
        <fgColor rgb="FFFFFF00"/>
        <bgColor indexed="64"/>
      </patternFill>
    </fill>
  </fills>
  <borders count="83">
    <border>
      <left/>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ck">
        <color rgb="FF002060"/>
      </left>
      <right/>
      <top style="thick">
        <color rgb="FF002060"/>
      </top>
      <bottom/>
      <diagonal/>
    </border>
    <border>
      <left/>
      <right/>
      <top style="thick">
        <color rgb="FF002060"/>
      </top>
      <bottom/>
      <diagonal/>
    </border>
    <border>
      <left/>
      <right style="thick">
        <color rgb="FF002060"/>
      </right>
      <top style="thick">
        <color rgb="FF002060"/>
      </top>
      <bottom/>
      <diagonal/>
    </border>
    <border>
      <left style="thick">
        <color rgb="FF002060"/>
      </left>
      <right/>
      <top/>
      <bottom/>
      <diagonal/>
    </border>
    <border>
      <left/>
      <right style="thick">
        <color rgb="FF002060"/>
      </right>
      <top/>
      <bottom/>
      <diagonal/>
    </border>
    <border>
      <left style="thick">
        <color rgb="FF002060"/>
      </left>
      <right/>
      <top/>
      <bottom style="thick">
        <color rgb="FF002060"/>
      </bottom>
      <diagonal/>
    </border>
    <border>
      <left/>
      <right/>
      <top/>
      <bottom style="thick">
        <color rgb="FF002060"/>
      </bottom>
      <diagonal/>
    </border>
    <border>
      <left/>
      <right style="thick">
        <color rgb="FF002060"/>
      </right>
      <top/>
      <bottom style="thick">
        <color rgb="FF002060"/>
      </bottom>
      <diagonal/>
    </border>
    <border>
      <left style="medium">
        <color rgb="FF002060"/>
      </left>
      <right style="medium">
        <color rgb="FF002060"/>
      </right>
      <top style="medium">
        <color rgb="FF002060"/>
      </top>
      <bottom style="medium">
        <color rgb="FF002060"/>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right style="medium">
        <color rgb="FF002060"/>
      </right>
      <top/>
      <bottom/>
      <diagonal/>
    </border>
    <border>
      <left/>
      <right/>
      <top style="thin">
        <color theme="4"/>
      </top>
      <bottom style="double">
        <color theme="4"/>
      </bottom>
      <diagonal/>
    </border>
    <border>
      <left/>
      <right/>
      <top style="thin">
        <color indexed="64"/>
      </top>
      <bottom/>
      <diagonal/>
    </border>
    <border>
      <left/>
      <right/>
      <top style="thin">
        <color indexed="64"/>
      </top>
      <bottom style="double">
        <color indexed="64"/>
      </bottom>
      <diagonal/>
    </border>
    <border>
      <left/>
      <right/>
      <top style="double">
        <color indexed="64"/>
      </top>
      <bottom style="medium">
        <color indexed="64"/>
      </bottom>
      <diagonal/>
    </border>
    <border>
      <left/>
      <right/>
      <top style="thin">
        <color indexed="64"/>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top/>
      <bottom style="thick">
        <color indexed="64"/>
      </bottom>
      <diagonal/>
    </border>
    <border>
      <left style="thin">
        <color theme="0"/>
      </left>
      <right/>
      <top/>
      <bottom style="thin">
        <color theme="0"/>
      </bottom>
      <diagonal/>
    </border>
    <border>
      <left/>
      <right/>
      <top/>
      <bottom style="thin">
        <color theme="0"/>
      </bottom>
      <diagonal/>
    </border>
    <border>
      <left style="thin">
        <color theme="0"/>
      </left>
      <right/>
      <top style="thin">
        <color theme="0"/>
      </top>
      <bottom style="thick">
        <color indexed="64"/>
      </bottom>
      <diagonal/>
    </border>
    <border>
      <left/>
      <right/>
      <top style="thin">
        <color theme="0"/>
      </top>
      <bottom style="thick">
        <color indexed="64"/>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top style="double">
        <color indexed="64"/>
      </top>
      <bottom/>
      <diagonal/>
    </border>
    <border>
      <left/>
      <right/>
      <top style="double">
        <color indexed="64"/>
      </top>
      <bottom style="thin">
        <color indexed="64"/>
      </bottom>
      <diagonal/>
    </border>
    <border>
      <left style="thin">
        <color indexed="64"/>
      </left>
      <right/>
      <top style="thin">
        <color indexed="64"/>
      </top>
      <bottom style="thin">
        <color indexed="64"/>
      </bottom>
      <diagonal/>
    </border>
  </borders>
  <cellStyleXfs count="8">
    <xf numFmtId="0" fontId="0" fillId="0" borderId="0"/>
    <xf numFmtId="0" fontId="1" fillId="0" borderId="0"/>
    <xf numFmtId="9" fontId="6" fillId="0" borderId="0" applyFont="0" applyFill="0" applyBorder="0" applyAlignment="0" applyProtection="0"/>
    <xf numFmtId="0" fontId="18" fillId="0" borderId="0" applyNumberFormat="0" applyFill="0" applyBorder="0" applyAlignment="0" applyProtection="0"/>
    <xf numFmtId="0" fontId="6" fillId="5" borderId="0" applyNumberFormat="0" applyBorder="0" applyAlignment="0" applyProtection="0"/>
    <xf numFmtId="0" fontId="8" fillId="0" borderId="64" applyNumberFormat="0" applyFill="0" applyAlignment="0" applyProtection="0"/>
    <xf numFmtId="164" fontId="6" fillId="0" borderId="0" applyFont="0" applyFill="0" applyBorder="0" applyAlignment="0" applyProtection="0"/>
    <xf numFmtId="0" fontId="1" fillId="0" borderId="0"/>
  </cellStyleXfs>
  <cellXfs count="571">
    <xf numFmtId="0" fontId="0" fillId="0" borderId="0" xfId="0"/>
    <xf numFmtId="0" fontId="3" fillId="4" borderId="0" xfId="1" applyFont="1" applyFill="1" applyBorder="1" applyAlignment="1" applyProtection="1">
      <alignment horizontal="center" vertical="top"/>
      <protection locked="0"/>
    </xf>
    <xf numFmtId="0" fontId="3" fillId="4" borderId="0" xfId="1" applyFont="1" applyFill="1" applyBorder="1" applyAlignment="1" applyProtection="1">
      <alignment horizontal="left" vertical="center"/>
      <protection locked="0"/>
    </xf>
    <xf numFmtId="0" fontId="3" fillId="4" borderId="10" xfId="1" applyFont="1" applyFill="1" applyBorder="1" applyAlignment="1" applyProtection="1">
      <alignment horizontal="left" vertical="center"/>
      <protection locked="0"/>
    </xf>
    <xf numFmtId="0" fontId="3" fillId="4" borderId="1" xfId="1" applyFont="1" applyFill="1" applyBorder="1" applyAlignment="1" applyProtection="1">
      <alignment horizontal="center" vertical="top"/>
      <protection locked="0"/>
    </xf>
    <xf numFmtId="2" fontId="3" fillId="4" borderId="0" xfId="1" applyNumberFormat="1" applyFont="1" applyFill="1" applyBorder="1" applyAlignment="1" applyProtection="1">
      <alignment horizontal="center" vertical="center"/>
      <protection locked="0"/>
    </xf>
    <xf numFmtId="2" fontId="3" fillId="4" borderId="0" xfId="1" applyNumberFormat="1" applyFont="1" applyFill="1" applyBorder="1" applyAlignment="1" applyProtection="1">
      <alignment vertical="center"/>
      <protection locked="0"/>
    </xf>
    <xf numFmtId="2" fontId="3" fillId="4" borderId="10" xfId="1" applyNumberFormat="1" applyFont="1" applyFill="1" applyBorder="1" applyAlignment="1" applyProtection="1">
      <alignment horizontal="center" vertical="center"/>
      <protection locked="0"/>
    </xf>
    <xf numFmtId="2" fontId="3" fillId="4" borderId="10" xfId="1" applyNumberFormat="1" applyFont="1" applyFill="1" applyBorder="1" applyAlignment="1" applyProtection="1">
      <alignment vertical="center"/>
      <protection locked="0"/>
    </xf>
    <xf numFmtId="165" fontId="3" fillId="4" borderId="1" xfId="1" applyNumberFormat="1" applyFont="1" applyFill="1" applyBorder="1" applyAlignment="1" applyProtection="1">
      <alignment horizontal="center" vertical="top"/>
      <protection locked="0"/>
    </xf>
    <xf numFmtId="15" fontId="3" fillId="4" borderId="3" xfId="1" applyNumberFormat="1" applyFont="1" applyFill="1" applyBorder="1" applyAlignment="1" applyProtection="1">
      <alignment horizontal="center" vertical="top"/>
      <protection locked="0"/>
    </xf>
    <xf numFmtId="0" fontId="2" fillId="4" borderId="0" xfId="1" applyFont="1" applyFill="1" applyBorder="1" applyAlignment="1" applyProtection="1">
      <alignment horizontal="center" vertical="top"/>
      <protection locked="0"/>
    </xf>
    <xf numFmtId="0" fontId="3" fillId="4" borderId="5" xfId="1" applyFont="1" applyFill="1" applyBorder="1" applyAlignment="1" applyProtection="1">
      <alignment horizontal="center" vertical="top"/>
      <protection locked="0"/>
    </xf>
    <xf numFmtId="165" fontId="2" fillId="4" borderId="0" xfId="1" applyNumberFormat="1" applyFont="1" applyFill="1" applyBorder="1" applyAlignment="1" applyProtection="1">
      <alignment horizontal="center" vertical="top"/>
      <protection locked="0"/>
    </xf>
    <xf numFmtId="2" fontId="3" fillId="4" borderId="0" xfId="1" applyNumberFormat="1" applyFont="1" applyFill="1" applyBorder="1" applyAlignment="1" applyProtection="1">
      <alignment vertical="center" wrapText="1"/>
      <protection locked="0"/>
    </xf>
    <xf numFmtId="2" fontId="3" fillId="4" borderId="5" xfId="1" applyNumberFormat="1" applyFont="1" applyFill="1" applyBorder="1" applyAlignment="1" applyProtection="1">
      <alignment horizontal="center" vertical="center"/>
      <protection locked="0"/>
    </xf>
    <xf numFmtId="2" fontId="3" fillId="4" borderId="11" xfId="1" applyNumberFormat="1" applyFont="1" applyFill="1" applyBorder="1" applyAlignment="1" applyProtection="1">
      <alignment horizontal="center" vertical="center"/>
      <protection locked="0"/>
    </xf>
    <xf numFmtId="2" fontId="3" fillId="0" borderId="16" xfId="1" applyNumberFormat="1" applyFont="1" applyBorder="1" applyAlignment="1" applyProtection="1">
      <alignment horizontal="center" vertical="center" wrapText="1"/>
    </xf>
    <xf numFmtId="0" fontId="3" fillId="0" borderId="16" xfId="1" applyFont="1" applyBorder="1" applyAlignment="1" applyProtection="1">
      <alignment horizontal="center" vertical="center"/>
    </xf>
    <xf numFmtId="0" fontId="3" fillId="0" borderId="17" xfId="1" applyFont="1" applyBorder="1" applyAlignment="1" applyProtection="1">
      <alignment horizontal="center" vertical="center"/>
    </xf>
    <xf numFmtId="2" fontId="2" fillId="3" borderId="25" xfId="1" applyNumberFormat="1" applyFont="1" applyFill="1" applyBorder="1" applyAlignment="1" applyProtection="1">
      <alignment horizontal="center" vertical="center" wrapText="1"/>
    </xf>
    <xf numFmtId="0" fontId="3" fillId="3" borderId="19" xfId="1" applyFont="1" applyFill="1" applyBorder="1" applyAlignment="1" applyProtection="1">
      <alignment vertical="center" wrapText="1"/>
    </xf>
    <xf numFmtId="0" fontId="2" fillId="0" borderId="20" xfId="1" applyFont="1" applyBorder="1" applyAlignment="1" applyProtection="1">
      <alignment horizontal="center" vertical="top" wrapText="1"/>
    </xf>
    <xf numFmtId="0" fontId="3" fillId="0" borderId="33" xfId="1" applyFont="1" applyBorder="1" applyAlignment="1" applyProtection="1">
      <alignment horizontal="center" vertical="top"/>
    </xf>
    <xf numFmtId="0" fontId="3" fillId="0" borderId="16" xfId="1" applyFont="1" applyBorder="1" applyAlignment="1" applyProtection="1">
      <alignment horizontal="center" vertical="center" wrapText="1"/>
    </xf>
    <xf numFmtId="0" fontId="3" fillId="0" borderId="17" xfId="1" applyFont="1" applyBorder="1" applyAlignment="1" applyProtection="1">
      <alignment vertical="center" wrapText="1"/>
    </xf>
    <xf numFmtId="0" fontId="3" fillId="0" borderId="16" xfId="1" applyFont="1" applyBorder="1" applyAlignment="1" applyProtection="1">
      <alignment vertical="center" wrapText="1"/>
    </xf>
    <xf numFmtId="2" fontId="3" fillId="3" borderId="25" xfId="1" applyNumberFormat="1" applyFont="1" applyFill="1" applyBorder="1" applyAlignment="1" applyProtection="1">
      <alignment vertical="center" wrapText="1"/>
    </xf>
    <xf numFmtId="2" fontId="2" fillId="3" borderId="37" xfId="1" applyNumberFormat="1" applyFont="1" applyFill="1" applyBorder="1" applyAlignment="1" applyProtection="1">
      <alignment horizontal="center" vertical="center" wrapText="1"/>
    </xf>
    <xf numFmtId="2" fontId="3" fillId="3" borderId="37" xfId="1" applyNumberFormat="1" applyFont="1" applyFill="1" applyBorder="1" applyAlignment="1" applyProtection="1">
      <alignment vertical="center" wrapText="1"/>
    </xf>
    <xf numFmtId="2" fontId="3" fillId="3" borderId="38" xfId="1" applyNumberFormat="1" applyFont="1" applyFill="1" applyBorder="1" applyAlignment="1" applyProtection="1">
      <alignment vertical="center" wrapText="1"/>
    </xf>
    <xf numFmtId="0" fontId="3" fillId="4" borderId="0" xfId="1" applyFont="1" applyFill="1" applyBorder="1" applyAlignment="1" applyProtection="1">
      <alignment horizontal="center" vertical="top"/>
    </xf>
    <xf numFmtId="0" fontId="3" fillId="4" borderId="10" xfId="1" applyFont="1" applyFill="1" applyBorder="1" applyAlignment="1" applyProtection="1">
      <alignment horizontal="center" vertical="top"/>
    </xf>
    <xf numFmtId="0" fontId="2" fillId="4" borderId="0" xfId="1" applyFont="1" applyFill="1" applyBorder="1" applyAlignment="1" applyProtection="1">
      <alignment horizontal="center" vertical="top"/>
    </xf>
    <xf numFmtId="2" fontId="3" fillId="4" borderId="0" xfId="1" applyNumberFormat="1" applyFont="1" applyFill="1" applyBorder="1" applyAlignment="1" applyProtection="1">
      <alignment vertical="center" wrapText="1"/>
    </xf>
    <xf numFmtId="2" fontId="3" fillId="4" borderId="0" xfId="1" applyNumberFormat="1" applyFont="1" applyFill="1" applyBorder="1" applyAlignment="1" applyProtection="1">
      <alignment vertical="center"/>
    </xf>
    <xf numFmtId="2" fontId="3" fillId="4" borderId="10" xfId="1" applyNumberFormat="1" applyFont="1" applyFill="1" applyBorder="1" applyAlignment="1" applyProtection="1">
      <alignment vertical="center"/>
    </xf>
    <xf numFmtId="0" fontId="5" fillId="0" borderId="0" xfId="0" applyFont="1" applyProtection="1"/>
    <xf numFmtId="0" fontId="9" fillId="2" borderId="0" xfId="0" applyFont="1" applyFill="1" applyBorder="1" applyAlignment="1" applyProtection="1">
      <alignment horizontal="center" vertical="center"/>
    </xf>
    <xf numFmtId="0" fontId="3" fillId="0" borderId="0" xfId="1" applyFont="1" applyProtection="1"/>
    <xf numFmtId="0" fontId="3" fillId="4" borderId="2" xfId="1" applyFont="1" applyFill="1" applyBorder="1" applyAlignment="1" applyProtection="1">
      <alignment horizontal="right" vertical="top"/>
    </xf>
    <xf numFmtId="0" fontId="2" fillId="4" borderId="1" xfId="1" applyFont="1" applyFill="1" applyBorder="1" applyAlignment="1" applyProtection="1">
      <alignment horizontal="left" vertical="top"/>
    </xf>
    <xf numFmtId="0" fontId="2" fillId="4" borderId="1" xfId="1" applyFont="1" applyFill="1" applyBorder="1" applyAlignment="1" applyProtection="1">
      <alignment horizontal="center" vertical="top"/>
    </xf>
    <xf numFmtId="165" fontId="2" fillId="4" borderId="1" xfId="1" applyNumberFormat="1" applyFont="1" applyFill="1" applyBorder="1" applyAlignment="1" applyProtection="1">
      <alignment horizontal="center" vertical="top"/>
    </xf>
    <xf numFmtId="0" fontId="3" fillId="4" borderId="4" xfId="1" applyFont="1" applyFill="1" applyBorder="1" applyAlignment="1" applyProtection="1">
      <alignment horizontal="right" vertical="top"/>
    </xf>
    <xf numFmtId="0" fontId="2" fillId="4" borderId="0" xfId="1" applyFont="1" applyFill="1" applyBorder="1" applyAlignment="1" applyProtection="1">
      <alignment horizontal="left" vertical="top"/>
    </xf>
    <xf numFmtId="0" fontId="2" fillId="4" borderId="0" xfId="1" applyFont="1" applyFill="1" applyBorder="1" applyAlignment="1" applyProtection="1">
      <alignment horizontal="left" vertical="center"/>
    </xf>
    <xf numFmtId="165" fontId="3" fillId="4" borderId="0" xfId="1" applyNumberFormat="1" applyFont="1" applyFill="1" applyBorder="1" applyAlignment="1" applyProtection="1">
      <alignment horizontal="center" vertical="top"/>
    </xf>
    <xf numFmtId="0" fontId="2" fillId="4" borderId="0" xfId="1" applyFont="1" applyFill="1" applyBorder="1" applyProtection="1"/>
    <xf numFmtId="0" fontId="2" fillId="4" borderId="0" xfId="1" applyFont="1" applyFill="1" applyBorder="1" applyAlignment="1" applyProtection="1">
      <alignment horizontal="left"/>
    </xf>
    <xf numFmtId="0" fontId="2" fillId="4" borderId="0" xfId="1" applyNumberFormat="1" applyFont="1" applyFill="1" applyBorder="1" applyAlignment="1" applyProtection="1">
      <alignment horizontal="left"/>
    </xf>
    <xf numFmtId="0" fontId="2" fillId="4" borderId="0" xfId="1" applyFont="1" applyFill="1" applyBorder="1" applyAlignment="1" applyProtection="1">
      <alignment vertical="center"/>
    </xf>
    <xf numFmtId="0" fontId="3" fillId="4" borderId="9" xfId="1" applyFont="1" applyFill="1" applyBorder="1" applyAlignment="1" applyProtection="1">
      <alignment horizontal="right" vertical="top"/>
    </xf>
    <xf numFmtId="0" fontId="2" fillId="4" borderId="10" xfId="1" applyFont="1" applyFill="1" applyBorder="1" applyAlignment="1" applyProtection="1">
      <alignment horizontal="left" vertical="top"/>
    </xf>
    <xf numFmtId="0" fontId="3" fillId="0" borderId="4" xfId="1" applyFont="1" applyBorder="1" applyAlignment="1" applyProtection="1">
      <alignment horizontal="right" vertical="top"/>
    </xf>
    <xf numFmtId="0" fontId="2" fillId="0" borderId="0" xfId="1" applyFont="1" applyBorder="1" applyAlignment="1" applyProtection="1">
      <alignment horizontal="left" vertical="top"/>
    </xf>
    <xf numFmtId="0" fontId="3" fillId="0" borderId="0" xfId="1" applyFont="1" applyBorder="1" applyAlignment="1" applyProtection="1">
      <alignment horizontal="center" vertical="top"/>
    </xf>
    <xf numFmtId="2" fontId="3" fillId="0" borderId="0" xfId="1" applyNumberFormat="1" applyFont="1" applyBorder="1" applyAlignment="1" applyProtection="1">
      <alignment horizontal="center" vertical="center"/>
    </xf>
    <xf numFmtId="2" fontId="3" fillId="0" borderId="0" xfId="1" applyNumberFormat="1" applyFont="1" applyBorder="1" applyAlignment="1" applyProtection="1">
      <alignment vertical="center"/>
    </xf>
    <xf numFmtId="0" fontId="3" fillId="0" borderId="0" xfId="1" applyFont="1" applyBorder="1" applyAlignment="1" applyProtection="1">
      <alignment horizontal="left" vertical="center"/>
    </xf>
    <xf numFmtId="0" fontId="2" fillId="0" borderId="0" xfId="1" applyFont="1" applyBorder="1" applyAlignment="1" applyProtection="1">
      <alignment horizontal="center" vertical="center" wrapText="1"/>
    </xf>
    <xf numFmtId="0" fontId="4" fillId="0" borderId="0" xfId="1" applyFont="1" applyBorder="1" applyAlignment="1" applyProtection="1">
      <alignment horizontal="left" vertical="center" wrapText="1"/>
    </xf>
    <xf numFmtId="0" fontId="2" fillId="0" borderId="0" xfId="1" applyFont="1" applyBorder="1" applyAlignment="1" applyProtection="1">
      <alignment horizontal="center" vertical="top" wrapText="1"/>
    </xf>
    <xf numFmtId="165" fontId="3" fillId="0" borderId="0" xfId="1" applyNumberFormat="1" applyFont="1" applyBorder="1" applyAlignment="1" applyProtection="1">
      <alignment horizontal="center" vertical="top"/>
    </xf>
    <xf numFmtId="0" fontId="3" fillId="0" borderId="0" xfId="1" applyFont="1" applyBorder="1" applyAlignment="1" applyProtection="1">
      <alignment horizontal="center"/>
    </xf>
    <xf numFmtId="0" fontId="2" fillId="3" borderId="26" xfId="1" applyFont="1" applyFill="1" applyBorder="1" applyAlignment="1" applyProtection="1">
      <alignment horizontal="center" vertical="center" wrapText="1"/>
    </xf>
    <xf numFmtId="0" fontId="2" fillId="3" borderId="6" xfId="1" applyFont="1" applyFill="1" applyBorder="1" applyAlignment="1" applyProtection="1">
      <alignment horizontal="center" vertical="center" wrapText="1"/>
    </xf>
    <xf numFmtId="0" fontId="2" fillId="3" borderId="13" xfId="1" applyFont="1" applyFill="1" applyBorder="1" applyAlignment="1" applyProtection="1">
      <alignment horizontal="center" vertical="center" wrapText="1"/>
    </xf>
    <xf numFmtId="0" fontId="2" fillId="3" borderId="13" xfId="1" applyFont="1" applyFill="1" applyBorder="1" applyAlignment="1" applyProtection="1">
      <alignment horizontal="center" vertical="center"/>
    </xf>
    <xf numFmtId="0" fontId="2" fillId="3" borderId="8" xfId="1" applyFont="1" applyFill="1" applyBorder="1" applyAlignment="1" applyProtection="1">
      <alignment horizontal="center" vertical="center"/>
    </xf>
    <xf numFmtId="0" fontId="2" fillId="0" borderId="21" xfId="1" applyFont="1" applyBorder="1" applyAlignment="1" applyProtection="1">
      <alignment horizontal="center" vertical="center" wrapText="1"/>
    </xf>
    <xf numFmtId="0" fontId="4" fillId="0" borderId="41" xfId="1" applyFont="1" applyBorder="1" applyAlignment="1" applyProtection="1">
      <alignment vertical="center" wrapText="1"/>
    </xf>
    <xf numFmtId="0" fontId="2" fillId="0" borderId="39" xfId="1" applyFont="1" applyBorder="1" applyAlignment="1" applyProtection="1">
      <alignment horizontal="center" vertical="top" wrapText="1"/>
    </xf>
    <xf numFmtId="0" fontId="3" fillId="0" borderId="40" xfId="1" applyFont="1" applyBorder="1" applyAlignment="1" applyProtection="1">
      <alignment horizontal="center" vertical="top"/>
    </xf>
    <xf numFmtId="0" fontId="3" fillId="0" borderId="0" xfId="1" applyFont="1" applyBorder="1" applyProtection="1"/>
    <xf numFmtId="0" fontId="3" fillId="0" borderId="23" xfId="1" applyFont="1" applyBorder="1" applyAlignment="1" applyProtection="1">
      <alignment horizontal="center" vertical="center" wrapText="1"/>
    </xf>
    <xf numFmtId="0" fontId="3" fillId="0" borderId="15" xfId="1" applyFont="1" applyBorder="1" applyAlignment="1" applyProtection="1">
      <alignment horizontal="left" vertical="center" wrapText="1"/>
    </xf>
    <xf numFmtId="0" fontId="3" fillId="3" borderId="24" xfId="1" applyFont="1" applyFill="1" applyBorder="1" applyAlignment="1" applyProtection="1">
      <alignment horizontal="center" vertical="center" wrapText="1"/>
    </xf>
    <xf numFmtId="0" fontId="2" fillId="3" borderId="18" xfId="1" applyFont="1" applyFill="1" applyBorder="1" applyAlignment="1" applyProtection="1">
      <alignment horizontal="left" vertical="center" wrapText="1"/>
    </xf>
    <xf numFmtId="0" fontId="4" fillId="0" borderId="42" xfId="1" applyFont="1" applyBorder="1" applyAlignment="1" applyProtection="1">
      <alignment vertical="center" wrapText="1"/>
    </xf>
    <xf numFmtId="2" fontId="3" fillId="0" borderId="16" xfId="1" applyNumberFormat="1" applyFont="1" applyBorder="1" applyAlignment="1" applyProtection="1">
      <alignment vertical="center" wrapText="1"/>
    </xf>
    <xf numFmtId="0" fontId="2" fillId="0" borderId="15" xfId="1" applyFont="1" applyBorder="1" applyAlignment="1" applyProtection="1">
      <alignment horizontal="left" vertical="center" wrapText="1"/>
    </xf>
    <xf numFmtId="0" fontId="3" fillId="3" borderId="43" xfId="1" applyFont="1" applyFill="1" applyBorder="1" applyAlignment="1" applyProtection="1">
      <alignment horizontal="center" vertical="center" wrapText="1"/>
    </xf>
    <xf numFmtId="0" fontId="2" fillId="3" borderId="36" xfId="1" applyFont="1" applyFill="1" applyBorder="1" applyAlignment="1" applyProtection="1">
      <alignment horizontal="left" vertical="center" wrapText="1"/>
    </xf>
    <xf numFmtId="0" fontId="2" fillId="0" borderId="0" xfId="1" applyFont="1" applyFill="1" applyBorder="1" applyAlignment="1" applyProtection="1">
      <alignment horizontal="right" vertical="top"/>
    </xf>
    <xf numFmtId="0" fontId="2" fillId="0" borderId="0" xfId="1" applyFont="1" applyFill="1" applyBorder="1" applyAlignment="1" applyProtection="1">
      <alignment horizontal="left" vertical="top" wrapText="1"/>
    </xf>
    <xf numFmtId="0" fontId="3" fillId="0" borderId="0" xfId="1" applyFont="1" applyFill="1" applyBorder="1" applyAlignment="1" applyProtection="1">
      <alignment horizontal="left" vertical="top" wrapText="1"/>
    </xf>
    <xf numFmtId="2" fontId="2" fillId="0" borderId="0" xfId="1" applyNumberFormat="1" applyFont="1" applyFill="1" applyBorder="1" applyAlignment="1" applyProtection="1">
      <alignment vertical="top" wrapText="1"/>
    </xf>
    <xf numFmtId="0" fontId="3" fillId="0" borderId="0" xfId="1" applyFont="1" applyBorder="1" applyAlignment="1" applyProtection="1">
      <alignment horizontal="center" vertical="top" wrapText="1"/>
    </xf>
    <xf numFmtId="0" fontId="3" fillId="0" borderId="0" xfId="1" applyFont="1" applyFill="1" applyBorder="1" applyAlignment="1" applyProtection="1">
      <alignment horizontal="right" vertical="top"/>
    </xf>
    <xf numFmtId="0" fontId="3" fillId="0" borderId="0" xfId="1" applyFont="1" applyFill="1" applyBorder="1" applyAlignment="1" applyProtection="1"/>
    <xf numFmtId="0" fontId="3" fillId="0" borderId="0" xfId="1" applyFont="1" applyFill="1" applyBorder="1" applyAlignment="1" applyProtection="1">
      <alignment horizontal="center" vertical="top" wrapText="1"/>
    </xf>
    <xf numFmtId="165" fontId="3" fillId="0" borderId="0" xfId="1" applyNumberFormat="1" applyFont="1" applyFill="1" applyBorder="1" applyAlignment="1" applyProtection="1">
      <alignment horizontal="center" vertical="top"/>
    </xf>
    <xf numFmtId="0" fontId="3" fillId="0" borderId="0" xfId="1" applyFont="1" applyBorder="1" applyAlignment="1" applyProtection="1">
      <alignment horizontal="right" vertical="top"/>
    </xf>
    <xf numFmtId="0" fontId="2" fillId="0" borderId="0" xfId="1" applyFont="1" applyBorder="1" applyAlignment="1" applyProtection="1">
      <alignment horizontal="left" vertical="top" wrapText="1"/>
    </xf>
    <xf numFmtId="0" fontId="2" fillId="4" borderId="0" xfId="1" applyFont="1" applyFill="1" applyBorder="1" applyAlignment="1" applyProtection="1">
      <alignment horizontal="center" vertical="center" wrapText="1"/>
    </xf>
    <xf numFmtId="0" fontId="7" fillId="4" borderId="0" xfId="0" applyFont="1" applyFill="1" applyAlignment="1" applyProtection="1"/>
    <xf numFmtId="0" fontId="0" fillId="4" borderId="0" xfId="0" applyFill="1" applyProtection="1"/>
    <xf numFmtId="0" fontId="0" fillId="0" borderId="0" xfId="0" applyProtection="1"/>
    <xf numFmtId="0" fontId="0" fillId="0" borderId="0" xfId="0" applyAlignment="1" applyProtection="1">
      <alignment horizontal="center"/>
    </xf>
    <xf numFmtId="0" fontId="2" fillId="3" borderId="12" xfId="1" applyFont="1" applyFill="1" applyBorder="1" applyAlignment="1" applyProtection="1">
      <alignment horizontal="center" vertical="center" wrapText="1"/>
    </xf>
    <xf numFmtId="0" fontId="2" fillId="3" borderId="14" xfId="1" applyFont="1" applyFill="1" applyBorder="1" applyAlignment="1" applyProtection="1">
      <alignment horizontal="center" vertical="center" wrapText="1"/>
    </xf>
    <xf numFmtId="0" fontId="3" fillId="0" borderId="5" xfId="1" applyFont="1" applyBorder="1" applyAlignment="1" applyProtection="1">
      <alignment horizontal="center" vertical="top"/>
    </xf>
    <xf numFmtId="0" fontId="3" fillId="0" borderId="23" xfId="1" applyFont="1" applyBorder="1" applyAlignment="1" applyProtection="1">
      <alignment horizontal="center" vertical="top" wrapText="1"/>
    </xf>
    <xf numFmtId="0" fontId="3" fillId="0" borderId="15" xfId="1" applyFont="1" applyBorder="1" applyAlignment="1" applyProtection="1">
      <alignment horizontal="left" vertical="top" wrapText="1"/>
    </xf>
    <xf numFmtId="0" fontId="2" fillId="3" borderId="24" xfId="1" applyFont="1" applyFill="1" applyBorder="1" applyAlignment="1" applyProtection="1">
      <alignment horizontal="center" vertical="top" wrapText="1"/>
    </xf>
    <xf numFmtId="0" fontId="2" fillId="3" borderId="18" xfId="1" applyFont="1" applyFill="1" applyBorder="1" applyAlignment="1" applyProtection="1">
      <alignment horizontal="left" vertical="top" wrapText="1"/>
    </xf>
    <xf numFmtId="2" fontId="2" fillId="3" borderId="25" xfId="1" applyNumberFormat="1" applyFont="1" applyFill="1" applyBorder="1" applyAlignment="1" applyProtection="1">
      <alignment horizontal="center" vertical="top" wrapText="1"/>
    </xf>
    <xf numFmtId="0" fontId="3" fillId="3" borderId="24" xfId="1" applyFont="1" applyFill="1" applyBorder="1" applyAlignment="1" applyProtection="1">
      <alignment horizontal="center" vertical="top" wrapText="1"/>
    </xf>
    <xf numFmtId="0" fontId="3" fillId="0" borderId="15" xfId="1" applyFont="1" applyBorder="1" applyAlignment="1" applyProtection="1">
      <alignment vertical="top"/>
    </xf>
    <xf numFmtId="0" fontId="2" fillId="0" borderId="22" xfId="1" applyFont="1" applyBorder="1" applyAlignment="1" applyProtection="1">
      <alignment horizontal="center" vertical="center" wrapText="1"/>
    </xf>
    <xf numFmtId="0" fontId="3" fillId="3" borderId="23" xfId="1" applyFont="1" applyFill="1" applyBorder="1" applyAlignment="1" applyProtection="1">
      <alignment horizontal="center" vertical="top" wrapText="1"/>
    </xf>
    <xf numFmtId="2" fontId="2" fillId="3" borderId="16" xfId="1" applyNumberFormat="1" applyFont="1" applyFill="1" applyBorder="1" applyAlignment="1" applyProtection="1">
      <alignment horizontal="center" vertical="top" wrapText="1"/>
    </xf>
    <xf numFmtId="0" fontId="2" fillId="3" borderId="27" xfId="1" applyFont="1" applyFill="1" applyBorder="1" applyAlignment="1" applyProtection="1">
      <alignment horizontal="center" vertical="center" wrapText="1"/>
    </xf>
    <xf numFmtId="0" fontId="4" fillId="0" borderId="0" xfId="1" applyFont="1" applyBorder="1" applyAlignment="1" applyProtection="1">
      <alignment vertical="center" wrapText="1"/>
    </xf>
    <xf numFmtId="0" fontId="2" fillId="0" borderId="5" xfId="1" applyFont="1" applyBorder="1" applyAlignment="1" applyProtection="1">
      <alignment horizontal="center" vertical="top" wrapText="1"/>
    </xf>
    <xf numFmtId="0" fontId="2" fillId="0" borderId="23" xfId="1" applyFont="1" applyBorder="1" applyAlignment="1" applyProtection="1">
      <alignment horizontal="center" vertical="center" wrapText="1"/>
    </xf>
    <xf numFmtId="0" fontId="3" fillId="0" borderId="28" xfId="1" applyFont="1" applyBorder="1" applyAlignment="1" applyProtection="1">
      <alignment horizontal="left" vertical="top" wrapText="1"/>
    </xf>
    <xf numFmtId="0" fontId="2" fillId="3" borderId="28" xfId="1" applyFont="1" applyFill="1" applyBorder="1" applyAlignment="1" applyProtection="1">
      <alignment horizontal="left" vertical="top" wrapText="1"/>
    </xf>
    <xf numFmtId="0" fontId="4" fillId="0" borderId="28" xfId="1" applyFont="1" applyBorder="1" applyAlignment="1" applyProtection="1">
      <alignment vertical="center" wrapText="1"/>
    </xf>
    <xf numFmtId="0" fontId="2" fillId="0" borderId="16" xfId="1" applyFont="1" applyBorder="1" applyAlignment="1" applyProtection="1">
      <alignment horizontal="center" vertical="top" wrapText="1"/>
    </xf>
    <xf numFmtId="0" fontId="2" fillId="0" borderId="17" xfId="1" applyFont="1" applyBorder="1" applyAlignment="1" applyProtection="1">
      <alignment horizontal="center" vertical="top" wrapText="1"/>
    </xf>
    <xf numFmtId="0" fontId="2" fillId="3" borderId="23" xfId="1" applyFont="1" applyFill="1" applyBorder="1" applyAlignment="1" applyProtection="1">
      <alignment horizontal="center" vertical="top" wrapText="1"/>
    </xf>
    <xf numFmtId="0" fontId="2" fillId="3" borderId="29" xfId="1" applyFont="1" applyFill="1" applyBorder="1" applyAlignment="1" applyProtection="1">
      <alignment horizontal="left" vertical="top" wrapText="1"/>
    </xf>
    <xf numFmtId="0" fontId="7" fillId="4" borderId="0" xfId="0" applyFont="1" applyFill="1" applyProtection="1"/>
    <xf numFmtId="0" fontId="2" fillId="3" borderId="34" xfId="1" applyFont="1" applyFill="1" applyBorder="1" applyAlignment="1" applyProtection="1">
      <alignment horizontal="center" vertical="center" wrapText="1"/>
    </xf>
    <xf numFmtId="0" fontId="2" fillId="3" borderId="30" xfId="1" applyFont="1" applyFill="1" applyBorder="1" applyAlignment="1" applyProtection="1">
      <alignment horizontal="center" vertical="center" wrapText="1"/>
    </xf>
    <xf numFmtId="0" fontId="2" fillId="3" borderId="30" xfId="1" applyFont="1" applyFill="1" applyBorder="1" applyAlignment="1" applyProtection="1">
      <alignment horizontal="center" vertical="center"/>
    </xf>
    <xf numFmtId="2" fontId="2" fillId="3" borderId="31" xfId="1" applyNumberFormat="1" applyFont="1" applyFill="1" applyBorder="1" applyAlignment="1" applyProtection="1">
      <alignment horizontal="center" vertical="center"/>
    </xf>
    <xf numFmtId="0" fontId="0" fillId="0" borderId="0" xfId="0" applyAlignment="1" applyProtection="1">
      <alignment vertical="center"/>
    </xf>
    <xf numFmtId="0" fontId="3" fillId="4" borderId="16" xfId="1" applyFont="1" applyFill="1" applyBorder="1" applyAlignment="1" applyProtection="1">
      <alignment horizontal="center" vertical="center" wrapText="1"/>
      <protection locked="0"/>
    </xf>
    <xf numFmtId="0" fontId="7" fillId="4" borderId="0" xfId="0" applyFont="1" applyFill="1" applyAlignment="1" applyProtection="1">
      <alignment horizontal="left" wrapText="1"/>
    </xf>
    <xf numFmtId="1" fontId="2" fillId="3" borderId="25" xfId="1" applyNumberFormat="1" applyFont="1" applyFill="1" applyBorder="1" applyAlignment="1" applyProtection="1">
      <alignment horizontal="center" vertical="center" wrapText="1"/>
    </xf>
    <xf numFmtId="2" fontId="3" fillId="3" borderId="16" xfId="1" applyNumberFormat="1" applyFont="1" applyFill="1" applyBorder="1" applyAlignment="1" applyProtection="1">
      <alignment vertical="center" wrapText="1"/>
    </xf>
    <xf numFmtId="2" fontId="2" fillId="3" borderId="16" xfId="1" applyNumberFormat="1" applyFont="1" applyFill="1" applyBorder="1" applyAlignment="1" applyProtection="1">
      <alignment horizontal="center" vertical="center" wrapText="1"/>
    </xf>
    <xf numFmtId="1" fontId="2" fillId="3" borderId="16" xfId="1" applyNumberFormat="1" applyFont="1" applyFill="1" applyBorder="1" applyAlignment="1" applyProtection="1">
      <alignment horizontal="center" vertical="center" wrapText="1"/>
    </xf>
    <xf numFmtId="0" fontId="3" fillId="3" borderId="17" xfId="1" applyFont="1" applyFill="1" applyBorder="1" applyAlignment="1" applyProtection="1">
      <alignment vertical="center" wrapText="1"/>
    </xf>
    <xf numFmtId="1" fontId="2" fillId="3" borderId="37" xfId="1" applyNumberFormat="1" applyFont="1" applyFill="1" applyBorder="1" applyAlignment="1" applyProtection="1">
      <alignment horizontal="center" vertical="center" wrapText="1"/>
    </xf>
    <xf numFmtId="0" fontId="11" fillId="0" borderId="0" xfId="1" applyFont="1" applyBorder="1" applyAlignment="1" applyProtection="1">
      <alignment horizontal="center" vertical="top"/>
    </xf>
    <xf numFmtId="165" fontId="11" fillId="0" borderId="0" xfId="1" applyNumberFormat="1" applyFont="1" applyBorder="1" applyAlignment="1" applyProtection="1">
      <alignment horizontal="center" vertical="top"/>
    </xf>
    <xf numFmtId="0" fontId="2" fillId="3" borderId="25" xfId="1" applyNumberFormat="1" applyFont="1" applyFill="1" applyBorder="1" applyAlignment="1" applyProtection="1">
      <alignment horizontal="center" vertical="top" wrapText="1"/>
    </xf>
    <xf numFmtId="0" fontId="2" fillId="3" borderId="19" xfId="1" applyNumberFormat="1" applyFont="1" applyFill="1" applyBorder="1" applyAlignment="1" applyProtection="1">
      <alignment horizontal="center" vertical="top" wrapText="1"/>
    </xf>
    <xf numFmtId="2" fontId="2" fillId="3" borderId="19" xfId="1" applyNumberFormat="1" applyFont="1" applyFill="1" applyBorder="1" applyAlignment="1" applyProtection="1">
      <alignment horizontal="center" vertical="top" wrapText="1"/>
    </xf>
    <xf numFmtId="2" fontId="2" fillId="3" borderId="17" xfId="1" applyNumberFormat="1" applyFont="1" applyFill="1" applyBorder="1" applyAlignment="1" applyProtection="1">
      <alignment horizontal="center" vertical="top" wrapText="1"/>
    </xf>
    <xf numFmtId="0" fontId="11" fillId="0" borderId="0" xfId="0" applyFont="1" applyProtection="1"/>
    <xf numFmtId="0" fontId="11" fillId="0" borderId="0" xfId="0" applyFont="1" applyAlignment="1" applyProtection="1">
      <alignment horizontal="center"/>
    </xf>
    <xf numFmtId="0" fontId="3" fillId="0" borderId="0" xfId="0" applyFont="1" applyProtection="1"/>
    <xf numFmtId="1" fontId="2" fillId="3" borderId="16" xfId="1" applyNumberFormat="1" applyFont="1" applyFill="1" applyBorder="1" applyAlignment="1" applyProtection="1">
      <alignment horizontal="center" vertical="top" wrapText="1"/>
    </xf>
    <xf numFmtId="0" fontId="12" fillId="0" borderId="0" xfId="0" applyFont="1" applyProtection="1"/>
    <xf numFmtId="0" fontId="3" fillId="3" borderId="44" xfId="1" applyFont="1" applyFill="1" applyBorder="1" applyAlignment="1" applyProtection="1">
      <alignment vertical="center" wrapText="1"/>
    </xf>
    <xf numFmtId="0" fontId="3" fillId="0" borderId="15" xfId="1" applyFont="1" applyBorder="1" applyAlignment="1" applyProtection="1">
      <alignment horizontal="center" vertical="center" wrapText="1"/>
    </xf>
    <xf numFmtId="2" fontId="3" fillId="0" borderId="17" xfId="1" applyNumberFormat="1" applyFont="1" applyBorder="1" applyAlignment="1" applyProtection="1">
      <alignment horizontal="center" vertical="center"/>
    </xf>
    <xf numFmtId="0" fontId="2" fillId="0" borderId="15" xfId="1" applyFont="1" applyBorder="1" applyAlignment="1" applyProtection="1">
      <alignment horizontal="center" vertical="center" wrapText="1"/>
    </xf>
    <xf numFmtId="10" fontId="13" fillId="3" borderId="19" xfId="2" applyNumberFormat="1" applyFont="1" applyFill="1" applyBorder="1" applyAlignment="1" applyProtection="1">
      <alignment horizontal="center" vertical="center"/>
    </xf>
    <xf numFmtId="2" fontId="3" fillId="3" borderId="44" xfId="1" applyNumberFormat="1" applyFont="1" applyFill="1" applyBorder="1" applyAlignment="1" applyProtection="1">
      <alignment vertical="center" wrapText="1"/>
    </xf>
    <xf numFmtId="0" fontId="8" fillId="4" borderId="0" xfId="0" applyFont="1" applyFill="1" applyAlignment="1" applyProtection="1">
      <alignment horizontal="center"/>
    </xf>
    <xf numFmtId="2" fontId="5" fillId="0" borderId="0" xfId="0" applyNumberFormat="1" applyFont="1" applyProtection="1"/>
    <xf numFmtId="0" fontId="13" fillId="3" borderId="34" xfId="1" applyFont="1" applyFill="1" applyBorder="1" applyAlignment="1" applyProtection="1">
      <alignment horizontal="center" wrapText="1"/>
    </xf>
    <xf numFmtId="0" fontId="13" fillId="3" borderId="30" xfId="1" applyFont="1" applyFill="1" applyBorder="1" applyAlignment="1" applyProtection="1">
      <alignment horizontal="center" wrapText="1"/>
    </xf>
    <xf numFmtId="10" fontId="14" fillId="0" borderId="18" xfId="0" applyNumberFormat="1" applyFont="1" applyBorder="1" applyAlignment="1" applyProtection="1">
      <alignment horizontal="center"/>
    </xf>
    <xf numFmtId="2" fontId="15" fillId="0" borderId="25" xfId="1" applyNumberFormat="1" applyFont="1" applyBorder="1" applyAlignment="1" applyProtection="1">
      <alignment horizontal="center" wrapText="1"/>
    </xf>
    <xf numFmtId="0" fontId="4" fillId="0" borderId="45" xfId="1" applyFont="1" applyFill="1" applyBorder="1" applyAlignment="1" applyProtection="1">
      <alignment horizontal="left" vertical="top" wrapText="1"/>
    </xf>
    <xf numFmtId="0" fontId="0" fillId="0" borderId="1" xfId="0" applyBorder="1" applyProtection="1"/>
    <xf numFmtId="0" fontId="0" fillId="0" borderId="3" xfId="0" applyBorder="1" applyProtection="1"/>
    <xf numFmtId="0" fontId="0" fillId="0" borderId="9" xfId="0" applyBorder="1" applyAlignment="1" applyProtection="1">
      <alignment horizontal="center"/>
    </xf>
    <xf numFmtId="0" fontId="8" fillId="0" borderId="42" xfId="0" applyFont="1" applyBorder="1" applyAlignment="1" applyProtection="1">
      <alignment horizontal="center"/>
    </xf>
    <xf numFmtId="2" fontId="3" fillId="0" borderId="16" xfId="1" applyNumberFormat="1" applyFont="1" applyBorder="1" applyAlignment="1" applyProtection="1">
      <alignment horizontal="center" vertical="center" wrapText="1"/>
    </xf>
    <xf numFmtId="0" fontId="3" fillId="3" borderId="47" xfId="1" applyFont="1" applyFill="1" applyBorder="1" applyAlignment="1" applyProtection="1">
      <alignment horizontal="center" vertical="top" wrapText="1"/>
    </xf>
    <xf numFmtId="0" fontId="2" fillId="3" borderId="48" xfId="1" applyFont="1" applyFill="1" applyBorder="1" applyAlignment="1" applyProtection="1">
      <alignment horizontal="left" vertical="top" wrapText="1"/>
    </xf>
    <xf numFmtId="0" fontId="2" fillId="3" borderId="49" xfId="1" applyNumberFormat="1" applyFont="1" applyFill="1" applyBorder="1" applyAlignment="1" applyProtection="1">
      <alignment horizontal="center" vertical="top" wrapText="1"/>
    </xf>
    <xf numFmtId="0" fontId="2" fillId="3" borderId="50" xfId="1" applyNumberFormat="1" applyFont="1" applyFill="1" applyBorder="1" applyAlignment="1" applyProtection="1">
      <alignment horizontal="center" vertical="top" wrapText="1"/>
    </xf>
    <xf numFmtId="0" fontId="2" fillId="3" borderId="26" xfId="1" applyFont="1" applyFill="1" applyBorder="1" applyAlignment="1" applyProtection="1">
      <alignment horizontal="center" vertical="top" wrapText="1"/>
    </xf>
    <xf numFmtId="0" fontId="2" fillId="3" borderId="12" xfId="1" applyFont="1" applyFill="1" applyBorder="1" applyAlignment="1" applyProtection="1">
      <alignment horizontal="left" vertical="top" wrapText="1"/>
    </xf>
    <xf numFmtId="1" fontId="2" fillId="3" borderId="13" xfId="1" applyNumberFormat="1" applyFont="1" applyFill="1" applyBorder="1" applyAlignment="1" applyProtection="1">
      <alignment horizontal="center" vertical="top" wrapText="1"/>
    </xf>
    <xf numFmtId="1" fontId="2" fillId="3" borderId="14" xfId="1" applyNumberFormat="1" applyFont="1" applyFill="1" applyBorder="1" applyAlignment="1" applyProtection="1">
      <alignment horizontal="center" vertical="top" wrapText="1"/>
    </xf>
    <xf numFmtId="0" fontId="5" fillId="4" borderId="18" xfId="0" applyFont="1" applyFill="1" applyBorder="1" applyAlignment="1" applyProtection="1">
      <alignment horizontal="center" vertical="center"/>
      <protection locked="0"/>
    </xf>
    <xf numFmtId="2" fontId="2" fillId="3" borderId="13" xfId="1" applyNumberFormat="1" applyFont="1" applyFill="1" applyBorder="1" applyAlignment="1" applyProtection="1">
      <alignment horizontal="center" vertical="top" wrapText="1"/>
    </xf>
    <xf numFmtId="0" fontId="11" fillId="0" borderId="0" xfId="1" applyFont="1" applyBorder="1" applyProtection="1"/>
    <xf numFmtId="2" fontId="11" fillId="0" borderId="0" xfId="1" applyNumberFormat="1" applyFont="1" applyBorder="1" applyAlignment="1" applyProtection="1">
      <alignment horizontal="center" vertical="top"/>
    </xf>
    <xf numFmtId="0" fontId="17" fillId="0" borderId="0" xfId="1" applyFont="1" applyBorder="1" applyAlignment="1" applyProtection="1">
      <alignment horizontal="center" vertical="top"/>
    </xf>
    <xf numFmtId="2" fontId="17" fillId="0" borderId="0" xfId="1" applyNumberFormat="1" applyFont="1" applyBorder="1" applyAlignment="1" applyProtection="1">
      <alignment horizontal="center" vertical="top"/>
    </xf>
    <xf numFmtId="2" fontId="11" fillId="0" borderId="0" xfId="0" applyNumberFormat="1" applyFont="1" applyProtection="1"/>
    <xf numFmtId="0" fontId="16" fillId="0" borderId="0" xfId="0" applyFont="1" applyProtection="1"/>
    <xf numFmtId="0" fontId="19" fillId="0" borderId="0" xfId="0" applyFont="1" applyProtection="1"/>
    <xf numFmtId="1" fontId="16" fillId="0" borderId="0" xfId="0" applyNumberFormat="1" applyFont="1" applyAlignment="1" applyProtection="1">
      <alignment horizontal="center"/>
    </xf>
    <xf numFmtId="0" fontId="16" fillId="0" borderId="0" xfId="0" applyFont="1" applyAlignment="1" applyProtection="1">
      <alignment horizontal="center"/>
    </xf>
    <xf numFmtId="0" fontId="3" fillId="4" borderId="1" xfId="1" applyFont="1" applyFill="1" applyBorder="1" applyAlignment="1" applyProtection="1">
      <alignment horizontal="left" vertical="center"/>
    </xf>
    <xf numFmtId="0" fontId="3" fillId="4" borderId="0" xfId="1" applyFont="1" applyFill="1" applyBorder="1" applyAlignment="1" applyProtection="1">
      <alignment horizontal="left" vertical="top"/>
      <protection locked="0"/>
    </xf>
    <xf numFmtId="0" fontId="3" fillId="4" borderId="10" xfId="1" applyFont="1" applyFill="1" applyBorder="1" applyAlignment="1" applyProtection="1">
      <alignment horizontal="left" vertical="top"/>
      <protection locked="0"/>
    </xf>
    <xf numFmtId="0" fontId="2" fillId="3" borderId="6" xfId="1" applyFont="1" applyFill="1" applyBorder="1" applyAlignment="1" applyProtection="1">
      <alignment horizontal="left" vertical="center" wrapText="1"/>
    </xf>
    <xf numFmtId="0" fontId="26" fillId="7" borderId="59" xfId="0" applyFont="1" applyFill="1" applyBorder="1" applyAlignment="1" applyProtection="1">
      <alignment horizontal="left" vertical="center"/>
      <protection locked="0"/>
    </xf>
    <xf numFmtId="0" fontId="0" fillId="0" borderId="0" xfId="0" applyAlignment="1">
      <alignment horizontal="center"/>
    </xf>
    <xf numFmtId="0" fontId="2" fillId="3" borderId="47" xfId="1" applyFont="1" applyFill="1" applyBorder="1" applyAlignment="1" applyProtection="1">
      <alignment horizontal="center" vertical="top" wrapText="1"/>
    </xf>
    <xf numFmtId="0" fontId="2" fillId="3" borderId="76" xfId="1" applyFont="1" applyFill="1" applyBorder="1" applyAlignment="1" applyProtection="1">
      <alignment horizontal="left" vertical="top" wrapText="1"/>
    </xf>
    <xf numFmtId="2" fontId="2" fillId="3" borderId="49" xfId="1" applyNumberFormat="1" applyFont="1" applyFill="1" applyBorder="1" applyAlignment="1" applyProtection="1">
      <alignment horizontal="center" vertical="top" wrapText="1"/>
    </xf>
    <xf numFmtId="2" fontId="2" fillId="3" borderId="50" xfId="1" applyNumberFormat="1" applyFont="1" applyFill="1" applyBorder="1" applyAlignment="1" applyProtection="1">
      <alignment horizontal="center" vertical="top" wrapText="1"/>
    </xf>
    <xf numFmtId="0" fontId="2" fillId="0" borderId="6" xfId="1" applyFont="1" applyBorder="1" applyAlignment="1" applyProtection="1">
      <alignment horizontal="center" vertical="top" wrapText="1"/>
    </xf>
    <xf numFmtId="0" fontId="2" fillId="0" borderId="7" xfId="1" applyFont="1" applyBorder="1" applyAlignment="1" applyProtection="1">
      <alignment horizontal="left" vertical="top" wrapText="1"/>
    </xf>
    <xf numFmtId="2" fontId="2" fillId="0" borderId="7" xfId="1" applyNumberFormat="1" applyFont="1" applyBorder="1" applyAlignment="1" applyProtection="1">
      <alignment horizontal="center" vertical="top" wrapText="1"/>
    </xf>
    <xf numFmtId="0" fontId="3" fillId="0" borderId="8" xfId="1" applyFont="1" applyBorder="1" applyAlignment="1" applyProtection="1">
      <alignment horizontal="center" vertical="top"/>
    </xf>
    <xf numFmtId="0" fontId="2" fillId="9" borderId="0" xfId="1" applyFont="1" applyFill="1" applyBorder="1" applyAlignment="1" applyProtection="1">
      <alignment horizontal="center" vertical="center" wrapText="1"/>
    </xf>
    <xf numFmtId="0" fontId="7" fillId="9" borderId="0" xfId="0" applyFont="1" applyFill="1" applyAlignment="1" applyProtection="1"/>
    <xf numFmtId="0" fontId="8" fillId="9" borderId="0" xfId="0" applyFont="1" applyFill="1" applyAlignment="1" applyProtection="1">
      <alignment horizontal="center"/>
    </xf>
    <xf numFmtId="0" fontId="0" fillId="9" borderId="0" xfId="0" applyFill="1" applyProtection="1"/>
    <xf numFmtId="0" fontId="2" fillId="10" borderId="26" xfId="1" applyFont="1" applyFill="1" applyBorder="1" applyAlignment="1" applyProtection="1">
      <alignment horizontal="center" vertical="center" wrapText="1"/>
    </xf>
    <xf numFmtId="0" fontId="2" fillId="10" borderId="12" xfId="1" applyFont="1" applyFill="1" applyBorder="1" applyAlignment="1" applyProtection="1">
      <alignment horizontal="center" vertical="center" wrapText="1"/>
    </xf>
    <xf numFmtId="0" fontId="2" fillId="10" borderId="13" xfId="1" applyFont="1" applyFill="1" applyBorder="1" applyAlignment="1" applyProtection="1">
      <alignment horizontal="center" vertical="center" wrapText="1"/>
    </xf>
    <xf numFmtId="0" fontId="2" fillId="10" borderId="14" xfId="1" applyFont="1" applyFill="1" applyBorder="1" applyAlignment="1" applyProtection="1">
      <alignment horizontal="center" vertical="center" wrapText="1"/>
    </xf>
    <xf numFmtId="0" fontId="3" fillId="9" borderId="16" xfId="1" applyFont="1" applyFill="1" applyBorder="1" applyAlignment="1" applyProtection="1">
      <alignment horizontal="center" vertical="center" wrapText="1"/>
      <protection locked="0"/>
    </xf>
    <xf numFmtId="0" fontId="2" fillId="10" borderId="24" xfId="1" applyFont="1" applyFill="1" applyBorder="1" applyAlignment="1" applyProtection="1">
      <alignment horizontal="center" vertical="top" wrapText="1"/>
    </xf>
    <xf numFmtId="0" fontId="2" fillId="10" borderId="18" xfId="1" applyFont="1" applyFill="1" applyBorder="1" applyAlignment="1" applyProtection="1">
      <alignment horizontal="left" vertical="top" wrapText="1"/>
    </xf>
    <xf numFmtId="0" fontId="2" fillId="10" borderId="25" xfId="1" applyNumberFormat="1" applyFont="1" applyFill="1" applyBorder="1" applyAlignment="1" applyProtection="1">
      <alignment horizontal="center" vertical="top" wrapText="1"/>
    </xf>
    <xf numFmtId="0" fontId="2" fillId="10" borderId="19" xfId="1" applyNumberFormat="1" applyFont="1" applyFill="1" applyBorder="1" applyAlignment="1" applyProtection="1">
      <alignment horizontal="center" vertical="top" wrapText="1"/>
    </xf>
    <xf numFmtId="0" fontId="3" fillId="0" borderId="15" xfId="1" applyFont="1" applyBorder="1" applyAlignment="1" applyProtection="1">
      <alignment horizontal="center" vertical="top" wrapText="1"/>
      <protection hidden="1"/>
    </xf>
    <xf numFmtId="0" fontId="3" fillId="0" borderId="48" xfId="1" applyFont="1" applyBorder="1" applyAlignment="1" applyProtection="1">
      <alignment horizontal="left" vertical="top" wrapText="1"/>
    </xf>
    <xf numFmtId="0" fontId="3" fillId="10" borderId="24" xfId="1" applyFont="1" applyFill="1" applyBorder="1" applyAlignment="1" applyProtection="1">
      <alignment horizontal="center" vertical="top" wrapText="1"/>
    </xf>
    <xf numFmtId="0" fontId="3" fillId="0" borderId="47" xfId="1" applyFont="1" applyBorder="1" applyAlignment="1" applyProtection="1">
      <alignment horizontal="center" vertical="top" wrapText="1"/>
    </xf>
    <xf numFmtId="0" fontId="3" fillId="9" borderId="49" xfId="1" applyFont="1" applyFill="1" applyBorder="1" applyAlignment="1" applyProtection="1">
      <alignment horizontal="center" vertical="center" wrapText="1"/>
      <protection locked="0"/>
    </xf>
    <xf numFmtId="0" fontId="3" fillId="10" borderId="23" xfId="1" applyFont="1" applyFill="1" applyBorder="1" applyAlignment="1" applyProtection="1">
      <alignment horizontal="center" vertical="top" wrapText="1"/>
    </xf>
    <xf numFmtId="0" fontId="2" fillId="10" borderId="15" xfId="1" applyFont="1" applyFill="1" applyBorder="1" applyAlignment="1" applyProtection="1">
      <alignment horizontal="left" vertical="top" wrapText="1"/>
    </xf>
    <xf numFmtId="2" fontId="2" fillId="10" borderId="25" xfId="1" applyNumberFormat="1" applyFont="1" applyFill="1" applyBorder="1" applyAlignment="1" applyProtection="1">
      <alignment horizontal="center" vertical="top" wrapText="1"/>
    </xf>
    <xf numFmtId="2" fontId="2" fillId="10" borderId="19" xfId="1" applyNumberFormat="1" applyFont="1" applyFill="1" applyBorder="1" applyAlignment="1" applyProtection="1">
      <alignment horizontal="center" vertical="top" wrapText="1"/>
    </xf>
    <xf numFmtId="0" fontId="5" fillId="9" borderId="18" xfId="0" applyFont="1" applyFill="1" applyBorder="1" applyAlignment="1" applyProtection="1">
      <alignment horizontal="center" vertical="center"/>
      <protection locked="0"/>
    </xf>
    <xf numFmtId="0" fontId="7" fillId="9" borderId="0" xfId="0" applyFont="1" applyFill="1" applyAlignment="1" applyProtection="1">
      <alignment horizontal="left" wrapText="1"/>
    </xf>
    <xf numFmtId="0" fontId="2" fillId="10" borderId="27" xfId="1" applyFont="1" applyFill="1" applyBorder="1" applyAlignment="1" applyProtection="1">
      <alignment horizontal="center" vertical="center" wrapText="1"/>
    </xf>
    <xf numFmtId="0" fontId="2" fillId="10" borderId="28" xfId="1" applyFont="1" applyFill="1" applyBorder="1" applyAlignment="1" applyProtection="1">
      <alignment horizontal="left" vertical="top" wrapText="1"/>
    </xf>
    <xf numFmtId="1" fontId="2" fillId="10" borderId="16" xfId="1" applyNumberFormat="1" applyFont="1" applyFill="1" applyBorder="1" applyAlignment="1" applyProtection="1">
      <alignment horizontal="center" vertical="top" wrapText="1"/>
    </xf>
    <xf numFmtId="2" fontId="2" fillId="10" borderId="17" xfId="1" applyNumberFormat="1" applyFont="1" applyFill="1" applyBorder="1" applyAlignment="1" applyProtection="1">
      <alignment horizontal="center" vertical="top" wrapText="1"/>
    </xf>
    <xf numFmtId="0" fontId="2" fillId="10" borderId="23" xfId="1" applyFont="1" applyFill="1" applyBorder="1" applyAlignment="1" applyProtection="1">
      <alignment horizontal="center" vertical="top" wrapText="1"/>
    </xf>
    <xf numFmtId="2" fontId="2" fillId="10" borderId="16" xfId="1" applyNumberFormat="1" applyFont="1" applyFill="1" applyBorder="1" applyAlignment="1" applyProtection="1">
      <alignment horizontal="center" vertical="top" wrapText="1"/>
    </xf>
    <xf numFmtId="0" fontId="2" fillId="10" borderId="29" xfId="1" applyFont="1" applyFill="1" applyBorder="1" applyAlignment="1" applyProtection="1">
      <alignment horizontal="left" vertical="top" wrapText="1"/>
    </xf>
    <xf numFmtId="0" fontId="2" fillId="0" borderId="77" xfId="1" applyFont="1" applyBorder="1" applyAlignment="1" applyProtection="1">
      <alignment horizontal="center" vertical="top" wrapText="1"/>
    </xf>
    <xf numFmtId="0" fontId="2" fillId="0" borderId="78" xfId="1" applyFont="1" applyBorder="1" applyAlignment="1" applyProtection="1">
      <alignment horizontal="left" vertical="top" wrapText="1"/>
    </xf>
    <xf numFmtId="2" fontId="2" fillId="0" borderId="78" xfId="1" applyNumberFormat="1" applyFont="1" applyBorder="1" applyAlignment="1" applyProtection="1">
      <alignment horizontal="center" vertical="top" wrapText="1"/>
    </xf>
    <xf numFmtId="0" fontId="3" fillId="0" borderId="79" xfId="1" applyFont="1" applyBorder="1" applyAlignment="1" applyProtection="1">
      <alignment horizontal="center" vertical="top"/>
    </xf>
    <xf numFmtId="0" fontId="4" fillId="0" borderId="1" xfId="1" applyFont="1" applyBorder="1" applyAlignment="1" applyProtection="1">
      <alignment vertical="center" wrapText="1"/>
    </xf>
    <xf numFmtId="0" fontId="2" fillId="0" borderId="1" xfId="1" applyFont="1" applyBorder="1" applyAlignment="1" applyProtection="1">
      <alignment horizontal="center" vertical="top" wrapText="1"/>
    </xf>
    <xf numFmtId="0" fontId="2" fillId="0" borderId="3" xfId="1" applyFont="1" applyBorder="1" applyAlignment="1" applyProtection="1">
      <alignment horizontal="center" vertical="top" wrapText="1"/>
    </xf>
    <xf numFmtId="0" fontId="13" fillId="10" borderId="30" xfId="1" applyFont="1" applyFill="1" applyBorder="1" applyAlignment="1" applyProtection="1">
      <alignment horizontal="center" wrapText="1"/>
    </xf>
    <xf numFmtId="0" fontId="13" fillId="10" borderId="34" xfId="1" applyFont="1" applyFill="1" applyBorder="1" applyAlignment="1" applyProtection="1">
      <alignment horizontal="center" wrapText="1"/>
    </xf>
    <xf numFmtId="10" fontId="13" fillId="10" borderId="19" xfId="2" applyNumberFormat="1" applyFont="1" applyFill="1" applyBorder="1" applyAlignment="1" applyProtection="1">
      <alignment horizontal="center" vertical="center"/>
    </xf>
    <xf numFmtId="2" fontId="2" fillId="10" borderId="31" xfId="1" applyNumberFormat="1" applyFont="1" applyFill="1" applyBorder="1" applyAlignment="1" applyProtection="1">
      <alignment horizontal="center" vertical="center"/>
    </xf>
    <xf numFmtId="0" fontId="2" fillId="10" borderId="30" xfId="1" applyFont="1" applyFill="1" applyBorder="1" applyAlignment="1" applyProtection="1">
      <alignment horizontal="center" vertical="center"/>
    </xf>
    <xf numFmtId="0" fontId="2" fillId="10" borderId="30" xfId="1" applyFont="1" applyFill="1" applyBorder="1" applyAlignment="1" applyProtection="1">
      <alignment horizontal="center" vertical="center" wrapText="1"/>
    </xf>
    <xf numFmtId="0" fontId="2" fillId="10" borderId="34" xfId="1" applyFont="1" applyFill="1" applyBorder="1" applyAlignment="1" applyProtection="1">
      <alignment horizontal="center" vertical="center" wrapText="1"/>
    </xf>
    <xf numFmtId="0" fontId="7" fillId="9" borderId="0" xfId="0" applyFont="1" applyFill="1" applyProtection="1"/>
    <xf numFmtId="0" fontId="2" fillId="11" borderId="0" xfId="1" applyFont="1" applyFill="1" applyBorder="1" applyAlignment="1" applyProtection="1">
      <alignment horizontal="center" vertical="center" wrapText="1"/>
    </xf>
    <xf numFmtId="0" fontId="7" fillId="11" borderId="0" xfId="0" applyFont="1" applyFill="1" applyAlignment="1" applyProtection="1"/>
    <xf numFmtId="0" fontId="8" fillId="11" borderId="0" xfId="0" applyFont="1" applyFill="1" applyAlignment="1" applyProtection="1">
      <alignment horizontal="center"/>
    </xf>
    <xf numFmtId="0" fontId="0" fillId="11" borderId="0" xfId="0" applyFill="1" applyProtection="1"/>
    <xf numFmtId="0" fontId="2" fillId="12" borderId="26" xfId="1" applyFont="1" applyFill="1" applyBorder="1" applyAlignment="1" applyProtection="1">
      <alignment horizontal="center" vertical="center" wrapText="1"/>
    </xf>
    <xf numFmtId="0" fontId="2" fillId="12" borderId="12" xfId="1" applyFont="1" applyFill="1" applyBorder="1" applyAlignment="1" applyProtection="1">
      <alignment horizontal="center" vertical="center" wrapText="1"/>
    </xf>
    <xf numFmtId="0" fontId="2" fillId="12" borderId="13" xfId="1" applyFont="1" applyFill="1" applyBorder="1" applyAlignment="1" applyProtection="1">
      <alignment horizontal="center" vertical="center" wrapText="1"/>
    </xf>
    <xf numFmtId="0" fontId="2" fillId="12" borderId="14" xfId="1" applyFont="1" applyFill="1" applyBorder="1" applyAlignment="1" applyProtection="1">
      <alignment horizontal="center" vertical="center" wrapText="1"/>
    </xf>
    <xf numFmtId="0" fontId="3" fillId="11" borderId="16" xfId="1" applyFont="1" applyFill="1" applyBorder="1" applyAlignment="1" applyProtection="1">
      <alignment horizontal="center" vertical="center" wrapText="1"/>
      <protection locked="0"/>
    </xf>
    <xf numFmtId="0" fontId="2" fillId="12" borderId="24" xfId="1" applyFont="1" applyFill="1" applyBorder="1" applyAlignment="1" applyProtection="1">
      <alignment horizontal="center" vertical="top" wrapText="1"/>
    </xf>
    <xf numFmtId="0" fontId="2" fillId="12" borderId="18" xfId="1" applyFont="1" applyFill="1" applyBorder="1" applyAlignment="1" applyProtection="1">
      <alignment horizontal="left" vertical="top" wrapText="1"/>
    </xf>
    <xf numFmtId="0" fontId="2" fillId="12" borderId="25" xfId="1" applyNumberFormat="1" applyFont="1" applyFill="1" applyBorder="1" applyAlignment="1" applyProtection="1">
      <alignment horizontal="center" vertical="top" wrapText="1"/>
    </xf>
    <xf numFmtId="0" fontId="2" fillId="12" borderId="19" xfId="1" applyNumberFormat="1" applyFont="1" applyFill="1" applyBorder="1" applyAlignment="1" applyProtection="1">
      <alignment horizontal="center" vertical="top" wrapText="1"/>
    </xf>
    <xf numFmtId="0" fontId="3" fillId="12" borderId="24" xfId="1" applyFont="1" applyFill="1" applyBorder="1" applyAlignment="1" applyProtection="1">
      <alignment horizontal="center" vertical="top" wrapText="1"/>
    </xf>
    <xf numFmtId="0" fontId="3" fillId="12" borderId="23" xfId="1" applyFont="1" applyFill="1" applyBorder="1" applyAlignment="1" applyProtection="1">
      <alignment horizontal="center" vertical="top" wrapText="1"/>
    </xf>
    <xf numFmtId="0" fontId="2" fillId="12" borderId="15" xfId="1" applyFont="1" applyFill="1" applyBorder="1" applyAlignment="1" applyProtection="1">
      <alignment horizontal="left" vertical="top" wrapText="1"/>
    </xf>
    <xf numFmtId="1" fontId="2" fillId="12" borderId="25" xfId="1" applyNumberFormat="1" applyFont="1" applyFill="1" applyBorder="1" applyAlignment="1" applyProtection="1">
      <alignment horizontal="center" vertical="top" wrapText="1"/>
    </xf>
    <xf numFmtId="1" fontId="2" fillId="12" borderId="19" xfId="1" applyNumberFormat="1" applyFont="1" applyFill="1" applyBorder="1" applyAlignment="1" applyProtection="1">
      <alignment horizontal="center" vertical="top" wrapText="1"/>
    </xf>
    <xf numFmtId="0" fontId="5" fillId="11" borderId="18" xfId="0" applyFont="1" applyFill="1" applyBorder="1" applyAlignment="1" applyProtection="1">
      <alignment horizontal="center" vertical="center"/>
      <protection locked="0"/>
    </xf>
    <xf numFmtId="0" fontId="0" fillId="12" borderId="6" xfId="0" applyFill="1" applyBorder="1" applyAlignment="1" applyProtection="1">
      <alignment horizontal="center"/>
    </xf>
    <xf numFmtId="0" fontId="2" fillId="12" borderId="12" xfId="1" applyFont="1" applyFill="1" applyBorder="1" applyAlignment="1" applyProtection="1">
      <alignment horizontal="left" vertical="top" wrapText="1"/>
    </xf>
    <xf numFmtId="2" fontId="8" fillId="12" borderId="13" xfId="0" applyNumberFormat="1" applyFont="1" applyFill="1" applyBorder="1" applyAlignment="1" applyProtection="1">
      <alignment horizontal="center"/>
    </xf>
    <xf numFmtId="2" fontId="8" fillId="12" borderId="14" xfId="0" applyNumberFormat="1" applyFont="1" applyFill="1" applyBorder="1" applyAlignment="1" applyProtection="1">
      <alignment horizontal="center"/>
    </xf>
    <xf numFmtId="0" fontId="7" fillId="11" borderId="0" xfId="0" applyFont="1" applyFill="1" applyAlignment="1" applyProtection="1">
      <alignment horizontal="left" wrapText="1"/>
    </xf>
    <xf numFmtId="0" fontId="2" fillId="12" borderId="27" xfId="1" applyFont="1" applyFill="1" applyBorder="1" applyAlignment="1" applyProtection="1">
      <alignment horizontal="center" vertical="center" wrapText="1"/>
    </xf>
    <xf numFmtId="0" fontId="2" fillId="12" borderId="28" xfId="1" applyFont="1" applyFill="1" applyBorder="1" applyAlignment="1" applyProtection="1">
      <alignment horizontal="left" vertical="top" wrapText="1"/>
    </xf>
    <xf numFmtId="1" fontId="2" fillId="12" borderId="16" xfId="1" applyNumberFormat="1" applyFont="1" applyFill="1" applyBorder="1" applyAlignment="1" applyProtection="1">
      <alignment horizontal="center" vertical="top" wrapText="1"/>
    </xf>
    <xf numFmtId="2" fontId="2" fillId="12" borderId="17" xfId="1" applyNumberFormat="1" applyFont="1" applyFill="1" applyBorder="1" applyAlignment="1" applyProtection="1">
      <alignment horizontal="center" vertical="top" wrapText="1"/>
    </xf>
    <xf numFmtId="0" fontId="2" fillId="12" borderId="23" xfId="1" applyFont="1" applyFill="1" applyBorder="1" applyAlignment="1" applyProtection="1">
      <alignment horizontal="center" vertical="top" wrapText="1"/>
    </xf>
    <xf numFmtId="2" fontId="2" fillId="12" borderId="16" xfId="1" applyNumberFormat="1" applyFont="1" applyFill="1" applyBorder="1" applyAlignment="1" applyProtection="1">
      <alignment horizontal="center" vertical="top" wrapText="1"/>
    </xf>
    <xf numFmtId="0" fontId="2" fillId="12" borderId="29" xfId="1" applyFont="1" applyFill="1" applyBorder="1" applyAlignment="1" applyProtection="1">
      <alignment horizontal="left" vertical="top" wrapText="1"/>
    </xf>
    <xf numFmtId="2" fontId="2" fillId="12" borderId="25" xfId="1" applyNumberFormat="1" applyFont="1" applyFill="1" applyBorder="1" applyAlignment="1" applyProtection="1">
      <alignment horizontal="center" vertical="top" wrapText="1"/>
    </xf>
    <xf numFmtId="2" fontId="2" fillId="12" borderId="19" xfId="1" applyNumberFormat="1" applyFont="1" applyFill="1" applyBorder="1" applyAlignment="1" applyProtection="1">
      <alignment horizontal="center" vertical="top" wrapText="1"/>
    </xf>
    <xf numFmtId="0" fontId="7" fillId="11" borderId="0" xfId="0" applyFont="1" applyFill="1" applyProtection="1"/>
    <xf numFmtId="0" fontId="2" fillId="12" borderId="34" xfId="1" applyFont="1" applyFill="1" applyBorder="1" applyAlignment="1" applyProtection="1">
      <alignment horizontal="center" vertical="center" wrapText="1"/>
    </xf>
    <xf numFmtId="0" fontId="2" fillId="12" borderId="30" xfId="1" applyFont="1" applyFill="1" applyBorder="1" applyAlignment="1" applyProtection="1">
      <alignment horizontal="center" vertical="center" wrapText="1"/>
    </xf>
    <xf numFmtId="0" fontId="2" fillId="12" borderId="30" xfId="1" applyFont="1" applyFill="1" applyBorder="1" applyAlignment="1" applyProtection="1">
      <alignment horizontal="center" vertical="center"/>
    </xf>
    <xf numFmtId="2" fontId="2" fillId="12" borderId="31" xfId="1" applyNumberFormat="1" applyFont="1" applyFill="1" applyBorder="1" applyAlignment="1" applyProtection="1">
      <alignment horizontal="center" vertical="center"/>
    </xf>
    <xf numFmtId="10" fontId="13" fillId="12" borderId="19" xfId="2" applyNumberFormat="1" applyFont="1" applyFill="1" applyBorder="1" applyAlignment="1" applyProtection="1">
      <alignment horizontal="center" vertical="center"/>
    </xf>
    <xf numFmtId="0" fontId="13" fillId="12" borderId="34" xfId="1" applyFont="1" applyFill="1" applyBorder="1" applyAlignment="1" applyProtection="1">
      <alignment horizontal="center" wrapText="1"/>
    </xf>
    <xf numFmtId="0" fontId="13" fillId="12" borderId="30" xfId="1" applyFont="1" applyFill="1" applyBorder="1" applyAlignment="1" applyProtection="1">
      <alignment horizontal="center" wrapText="1"/>
    </xf>
    <xf numFmtId="0" fontId="2" fillId="3" borderId="6" xfId="1" applyFont="1" applyFill="1" applyBorder="1" applyAlignment="1" applyProtection="1">
      <alignment horizontal="left" wrapText="1"/>
    </xf>
    <xf numFmtId="0" fontId="0" fillId="6" borderId="0" xfId="0" applyFill="1" applyProtection="1"/>
    <xf numFmtId="0" fontId="44" fillId="0" borderId="0" xfId="0" applyFont="1" applyProtection="1"/>
    <xf numFmtId="0" fontId="24" fillId="0" borderId="0" xfId="3" applyFont="1" applyProtection="1"/>
    <xf numFmtId="0" fontId="14" fillId="0" borderId="51" xfId="0" applyFont="1" applyBorder="1" applyProtection="1"/>
    <xf numFmtId="0" fontId="14" fillId="0" borderId="52" xfId="0" applyFont="1" applyBorder="1" applyProtection="1"/>
    <xf numFmtId="0" fontId="14" fillId="0" borderId="53" xfId="0" applyFont="1" applyBorder="1" applyProtection="1"/>
    <xf numFmtId="0" fontId="14" fillId="0" borderId="55" xfId="0" applyFont="1" applyBorder="1" applyProtection="1"/>
    <xf numFmtId="0" fontId="25" fillId="0" borderId="54" xfId="0" applyFont="1" applyBorder="1" applyAlignment="1" applyProtection="1">
      <alignment horizontal="center"/>
    </xf>
    <xf numFmtId="0" fontId="25" fillId="0" borderId="0" xfId="0" applyFont="1" applyBorder="1" applyAlignment="1" applyProtection="1">
      <alignment horizontal="center"/>
    </xf>
    <xf numFmtId="0" fontId="27" fillId="0" borderId="0" xfId="0" applyFont="1" applyBorder="1" applyProtection="1"/>
    <xf numFmtId="0" fontId="27" fillId="0" borderId="54" xfId="0" applyFont="1" applyBorder="1" applyProtection="1"/>
    <xf numFmtId="0" fontId="28" fillId="0" borderId="0" xfId="0" applyFont="1" applyBorder="1" applyAlignment="1" applyProtection="1">
      <alignment horizontal="center" vertical="center"/>
    </xf>
    <xf numFmtId="0" fontId="45" fillId="0" borderId="0" xfId="0" applyFont="1" applyBorder="1" applyAlignment="1" applyProtection="1">
      <alignment horizontal="center" vertical="center"/>
    </xf>
    <xf numFmtId="0" fontId="25" fillId="0" borderId="0" xfId="0" applyFont="1" applyBorder="1" applyAlignment="1" applyProtection="1">
      <alignment vertical="center"/>
    </xf>
    <xf numFmtId="0" fontId="14" fillId="0" borderId="56" xfId="0" applyFont="1" applyBorder="1" applyProtection="1"/>
    <xf numFmtId="0" fontId="14" fillId="0" borderId="57" xfId="0" applyFont="1" applyBorder="1" applyProtection="1"/>
    <xf numFmtId="0" fontId="14" fillId="0" borderId="58" xfId="0" applyFont="1" applyBorder="1" applyProtection="1"/>
    <xf numFmtId="14" fontId="0" fillId="0" borderId="0" xfId="0" applyNumberFormat="1" applyProtection="1"/>
    <xf numFmtId="0" fontId="30" fillId="8" borderId="0" xfId="0" applyFont="1" applyFill="1" applyProtection="1"/>
    <xf numFmtId="0" fontId="21" fillId="8" borderId="0" xfId="0" applyFont="1" applyFill="1" applyAlignment="1" applyProtection="1"/>
    <xf numFmtId="0" fontId="16" fillId="13" borderId="0" xfId="0" applyFont="1" applyFill="1" applyBorder="1" applyProtection="1"/>
    <xf numFmtId="0" fontId="0" fillId="0" borderId="0" xfId="0" applyFont="1" applyProtection="1"/>
    <xf numFmtId="0" fontId="0" fillId="0" borderId="0" xfId="0" applyFont="1" applyAlignment="1" applyProtection="1">
      <alignment horizontal="center"/>
    </xf>
    <xf numFmtId="0" fontId="20" fillId="0" borderId="0" xfId="0" applyFont="1" applyProtection="1"/>
    <xf numFmtId="0" fontId="36" fillId="0" borderId="0" xfId="0" applyFont="1" applyProtection="1"/>
    <xf numFmtId="0" fontId="33" fillId="0" borderId="0" xfId="0" applyFont="1" applyAlignment="1" applyProtection="1">
      <alignment horizontal="center"/>
    </xf>
    <xf numFmtId="0" fontId="34" fillId="0" borderId="0" xfId="0" applyFont="1" applyProtection="1"/>
    <xf numFmtId="0" fontId="23" fillId="0" borderId="0" xfId="0" applyFont="1" applyProtection="1"/>
    <xf numFmtId="0" fontId="44" fillId="13" borderId="0" xfId="0" applyFont="1" applyFill="1" applyBorder="1" applyProtection="1"/>
    <xf numFmtId="0" fontId="42" fillId="0" borderId="0" xfId="0" applyFont="1" applyAlignment="1" applyProtection="1">
      <alignment horizontal="center"/>
    </xf>
    <xf numFmtId="0" fontId="31" fillId="0" borderId="0" xfId="0" applyFont="1" applyAlignment="1" applyProtection="1">
      <alignment horizontal="left"/>
    </xf>
    <xf numFmtId="0" fontId="17" fillId="13" borderId="0" xfId="0" applyFont="1" applyFill="1" applyBorder="1" applyAlignment="1" applyProtection="1">
      <alignment horizontal="left" vertical="center" wrapText="1"/>
    </xf>
    <xf numFmtId="0" fontId="31" fillId="0" borderId="10" xfId="0" applyFont="1" applyBorder="1" applyProtection="1"/>
    <xf numFmtId="0" fontId="31" fillId="3" borderId="7" xfId="0" applyFont="1" applyFill="1" applyBorder="1" applyAlignment="1" applyProtection="1">
      <alignment horizontal="center"/>
    </xf>
    <xf numFmtId="0" fontId="32" fillId="3" borderId="7" xfId="0" applyFont="1" applyFill="1" applyBorder="1" applyAlignment="1" applyProtection="1">
      <alignment horizontal="center"/>
    </xf>
    <xf numFmtId="0" fontId="38" fillId="3" borderId="7" xfId="0" applyFont="1" applyFill="1" applyBorder="1" applyAlignment="1" applyProtection="1">
      <alignment horizontal="center"/>
    </xf>
    <xf numFmtId="0" fontId="17" fillId="13" borderId="0" xfId="0" applyFont="1" applyFill="1" applyBorder="1" applyAlignment="1" applyProtection="1">
      <alignment horizontal="center"/>
    </xf>
    <xf numFmtId="0" fontId="35" fillId="0" borderId="0" xfId="0" applyFont="1" applyProtection="1"/>
    <xf numFmtId="164" fontId="5" fillId="0" borderId="0" xfId="0" applyNumberFormat="1" applyFont="1" applyAlignment="1" applyProtection="1">
      <alignment horizontal="center"/>
    </xf>
    <xf numFmtId="164" fontId="37" fillId="0" borderId="0" xfId="0" applyNumberFormat="1" applyFont="1" applyAlignment="1" applyProtection="1">
      <alignment horizontal="center"/>
    </xf>
    <xf numFmtId="0" fontId="31" fillId="0" borderId="0" xfId="0" applyFont="1" applyAlignment="1" applyProtection="1">
      <alignment horizontal="left" indent="1"/>
    </xf>
    <xf numFmtId="10" fontId="0" fillId="0" borderId="0" xfId="0" applyNumberFormat="1" applyAlignment="1" applyProtection="1">
      <alignment horizontal="center"/>
    </xf>
    <xf numFmtId="2" fontId="16" fillId="13" borderId="0" xfId="0" applyNumberFormat="1" applyFont="1" applyFill="1" applyBorder="1" applyAlignment="1" applyProtection="1">
      <alignment horizontal="center"/>
    </xf>
    <xf numFmtId="0" fontId="5" fillId="0" borderId="0" xfId="0" applyFont="1" applyAlignment="1" applyProtection="1">
      <alignment horizontal="left" indent="2"/>
    </xf>
    <xf numFmtId="39" fontId="5" fillId="0" borderId="0" xfId="0" applyNumberFormat="1" applyFont="1" applyAlignment="1" applyProtection="1">
      <alignment horizontal="center"/>
    </xf>
    <xf numFmtId="39" fontId="37" fillId="0" borderId="0" xfId="0" applyNumberFormat="1" applyFont="1" applyAlignment="1" applyProtection="1">
      <alignment horizontal="center"/>
    </xf>
    <xf numFmtId="2" fontId="16" fillId="13" borderId="0" xfId="0" applyNumberFormat="1" applyFont="1" applyFill="1" applyBorder="1" applyProtection="1"/>
    <xf numFmtId="0" fontId="5" fillId="0" borderId="0" xfId="0" applyFont="1" applyAlignment="1" applyProtection="1">
      <alignment horizontal="left" indent="4"/>
    </xf>
    <xf numFmtId="10" fontId="0" fillId="0" borderId="39" xfId="0" applyNumberFormat="1" applyBorder="1" applyAlignment="1" applyProtection="1">
      <alignment horizontal="center"/>
    </xf>
    <xf numFmtId="0" fontId="31" fillId="3" borderId="65" xfId="0" applyFont="1" applyFill="1" applyBorder="1" applyAlignment="1" applyProtection="1">
      <alignment horizontal="left" indent="2"/>
    </xf>
    <xf numFmtId="39" fontId="31" fillId="3" borderId="65" xfId="0" applyNumberFormat="1" applyFont="1" applyFill="1" applyBorder="1" applyAlignment="1" applyProtection="1">
      <alignment horizontal="center"/>
    </xf>
    <xf numFmtId="39" fontId="38" fillId="3" borderId="65" xfId="0" applyNumberFormat="1" applyFont="1" applyFill="1" applyBorder="1" applyAlignment="1" applyProtection="1">
      <alignment horizontal="center"/>
    </xf>
    <xf numFmtId="0" fontId="31" fillId="0" borderId="0" xfId="0" applyFont="1" applyProtection="1"/>
    <xf numFmtId="10" fontId="8" fillId="3" borderId="0" xfId="0" applyNumberFormat="1" applyFont="1" applyFill="1" applyAlignment="1" applyProtection="1">
      <alignment horizontal="center"/>
    </xf>
    <xf numFmtId="0" fontId="8" fillId="3" borderId="0" xfId="0" applyFont="1" applyFill="1" applyAlignment="1" applyProtection="1">
      <alignment horizontal="center"/>
    </xf>
    <xf numFmtId="0" fontId="8" fillId="0" borderId="0" xfId="0" applyFont="1" applyProtection="1"/>
    <xf numFmtId="10" fontId="8" fillId="3" borderId="65" xfId="0" applyNumberFormat="1" applyFont="1" applyFill="1" applyBorder="1" applyAlignment="1" applyProtection="1">
      <alignment horizontal="center"/>
    </xf>
    <xf numFmtId="0" fontId="8" fillId="3" borderId="65" xfId="0" applyFont="1" applyFill="1" applyBorder="1" applyAlignment="1" applyProtection="1">
      <alignment horizontal="center"/>
    </xf>
    <xf numFmtId="0" fontId="43" fillId="13" borderId="0" xfId="0" applyFont="1" applyFill="1" applyBorder="1" applyProtection="1"/>
    <xf numFmtId="2" fontId="43" fillId="13" borderId="0" xfId="0" applyNumberFormat="1" applyFont="1" applyFill="1" applyBorder="1" applyProtection="1"/>
    <xf numFmtId="2" fontId="43" fillId="13" borderId="0" xfId="0" applyNumberFormat="1" applyFont="1" applyFill="1" applyBorder="1" applyAlignment="1" applyProtection="1">
      <alignment horizontal="center"/>
    </xf>
    <xf numFmtId="0" fontId="31" fillId="3" borderId="66" xfId="0" applyFont="1" applyFill="1" applyBorder="1" applyAlignment="1" applyProtection="1">
      <alignment horizontal="left" indent="1"/>
    </xf>
    <xf numFmtId="39" fontId="31" fillId="3" borderId="66" xfId="0" applyNumberFormat="1" applyFont="1" applyFill="1" applyBorder="1" applyAlignment="1" applyProtection="1">
      <alignment horizontal="center"/>
    </xf>
    <xf numFmtId="10" fontId="8" fillId="3" borderId="66" xfId="0" applyNumberFormat="1" applyFont="1" applyFill="1" applyBorder="1" applyAlignment="1" applyProtection="1">
      <alignment horizontal="center"/>
    </xf>
    <xf numFmtId="0" fontId="8" fillId="3" borderId="66" xfId="0" applyFont="1" applyFill="1" applyBorder="1" applyAlignment="1" applyProtection="1">
      <alignment horizontal="center"/>
    </xf>
    <xf numFmtId="0" fontId="31" fillId="3" borderId="65" xfId="0" applyFont="1" applyFill="1" applyBorder="1" applyAlignment="1" applyProtection="1">
      <alignment horizontal="left" indent="1"/>
    </xf>
    <xf numFmtId="0" fontId="0" fillId="0" borderId="39" xfId="0" applyBorder="1" applyAlignment="1" applyProtection="1">
      <alignment horizontal="center"/>
    </xf>
    <xf numFmtId="0" fontId="5" fillId="0" borderId="0" xfId="0" applyFont="1" applyAlignment="1" applyProtection="1">
      <alignment horizontal="left" indent="1"/>
    </xf>
    <xf numFmtId="39" fontId="38" fillId="3" borderId="66" xfId="0" applyNumberFormat="1" applyFont="1" applyFill="1" applyBorder="1" applyAlignment="1" applyProtection="1">
      <alignment horizontal="center"/>
    </xf>
    <xf numFmtId="0" fontId="31" fillId="3" borderId="32" xfId="0" applyFont="1" applyFill="1" applyBorder="1" applyProtection="1"/>
    <xf numFmtId="39" fontId="31" fillId="3" borderId="32" xfId="0" applyNumberFormat="1" applyFont="1" applyFill="1" applyBorder="1" applyAlignment="1" applyProtection="1">
      <alignment horizontal="center"/>
    </xf>
    <xf numFmtId="39" fontId="38" fillId="3" borderId="32" xfId="0" applyNumberFormat="1" applyFont="1" applyFill="1" applyBorder="1" applyAlignment="1" applyProtection="1">
      <alignment horizontal="center"/>
    </xf>
    <xf numFmtId="10" fontId="8" fillId="3" borderId="32" xfId="0" applyNumberFormat="1" applyFont="1" applyFill="1" applyBorder="1" applyAlignment="1" applyProtection="1">
      <alignment horizontal="center"/>
    </xf>
    <xf numFmtId="0" fontId="8" fillId="3" borderId="32" xfId="0" applyFont="1" applyFill="1" applyBorder="1" applyAlignment="1" applyProtection="1">
      <alignment horizontal="center"/>
    </xf>
    <xf numFmtId="0" fontId="31" fillId="0" borderId="0" xfId="0" applyFont="1" applyBorder="1" applyProtection="1"/>
    <xf numFmtId="39" fontId="5" fillId="0" borderId="0" xfId="0" applyNumberFormat="1" applyFont="1" applyBorder="1" applyAlignment="1" applyProtection="1">
      <alignment horizontal="center"/>
    </xf>
    <xf numFmtId="39" fontId="37" fillId="0" borderId="0" xfId="0" applyNumberFormat="1" applyFont="1" applyBorder="1" applyAlignment="1" applyProtection="1">
      <alignment horizontal="center"/>
    </xf>
    <xf numFmtId="39" fontId="0" fillId="0" borderId="0" xfId="0" applyNumberFormat="1" applyAlignment="1" applyProtection="1">
      <alignment horizontal="center"/>
    </xf>
    <xf numFmtId="39" fontId="19" fillId="0" borderId="0" xfId="0" applyNumberFormat="1" applyFont="1" applyAlignment="1" applyProtection="1">
      <alignment horizontal="center"/>
    </xf>
    <xf numFmtId="39" fontId="8" fillId="3" borderId="66" xfId="0" applyNumberFormat="1" applyFont="1" applyFill="1" applyBorder="1" applyAlignment="1" applyProtection="1">
      <alignment horizontal="center"/>
    </xf>
    <xf numFmtId="39" fontId="39" fillId="3" borderId="66" xfId="0" applyNumberFormat="1" applyFont="1" applyFill="1" applyBorder="1" applyAlignment="1" applyProtection="1">
      <alignment horizontal="center"/>
    </xf>
    <xf numFmtId="0" fontId="31" fillId="13" borderId="0" xfId="0" applyFont="1" applyFill="1" applyBorder="1" applyAlignment="1" applyProtection="1">
      <alignment horizontal="left" indent="1"/>
    </xf>
    <xf numFmtId="39" fontId="8" fillId="13" borderId="0" xfId="0" applyNumberFormat="1" applyFont="1" applyFill="1" applyBorder="1" applyAlignment="1" applyProtection="1">
      <alignment horizontal="center"/>
    </xf>
    <xf numFmtId="39" fontId="39" fillId="13" borderId="0" xfId="0" applyNumberFormat="1" applyFont="1" applyFill="1" applyBorder="1" applyAlignment="1" applyProtection="1">
      <alignment horizontal="center"/>
    </xf>
    <xf numFmtId="0" fontId="8" fillId="13" borderId="0" xfId="0" applyFont="1" applyFill="1" applyProtection="1"/>
    <xf numFmtId="10" fontId="8" fillId="13" borderId="0" xfId="0" applyNumberFormat="1" applyFont="1" applyFill="1" applyBorder="1" applyAlignment="1" applyProtection="1">
      <alignment horizontal="center"/>
    </xf>
    <xf numFmtId="0" fontId="8" fillId="13" borderId="0" xfId="0" applyFont="1" applyFill="1" applyBorder="1" applyAlignment="1" applyProtection="1">
      <alignment horizontal="center"/>
    </xf>
    <xf numFmtId="164" fontId="0" fillId="0" borderId="0" xfId="0" applyNumberFormat="1" applyAlignment="1" applyProtection="1">
      <alignment horizontal="center"/>
    </xf>
    <xf numFmtId="164" fontId="20" fillId="0" borderId="0" xfId="0" applyNumberFormat="1" applyFont="1" applyAlignment="1" applyProtection="1">
      <alignment horizontal="center"/>
    </xf>
    <xf numFmtId="39" fontId="5" fillId="0" borderId="0" xfId="0" applyNumberFormat="1" applyFont="1" applyAlignment="1" applyProtection="1">
      <alignment horizontal="center"/>
      <protection locked="0"/>
    </xf>
    <xf numFmtId="39" fontId="37" fillId="0" borderId="0" xfId="0" applyNumberFormat="1" applyFont="1" applyAlignment="1" applyProtection="1">
      <alignment horizontal="center"/>
      <protection locked="0"/>
    </xf>
    <xf numFmtId="39" fontId="0" fillId="0" borderId="0" xfId="0" applyNumberFormat="1" applyAlignment="1" applyProtection="1">
      <alignment horizontal="center"/>
      <protection locked="0"/>
    </xf>
    <xf numFmtId="0" fontId="42" fillId="0" borderId="0" xfId="0" applyFont="1" applyAlignment="1" applyProtection="1">
      <alignment horizontal="center"/>
      <protection locked="0"/>
    </xf>
    <xf numFmtId="0" fontId="31" fillId="0" borderId="0" xfId="0" applyFont="1" applyAlignment="1" applyProtection="1">
      <alignment horizontal="center"/>
      <protection locked="0"/>
    </xf>
    <xf numFmtId="0" fontId="31" fillId="0" borderId="10" xfId="0" applyFont="1" applyBorder="1" applyAlignment="1" applyProtection="1">
      <alignment horizontal="center"/>
      <protection locked="0"/>
    </xf>
    <xf numFmtId="0" fontId="21" fillId="8" borderId="0" xfId="0" applyFont="1" applyFill="1" applyAlignment="1" applyProtection="1">
      <alignment horizontal="center"/>
    </xf>
    <xf numFmtId="0" fontId="22" fillId="8" borderId="0" xfId="0" applyFont="1" applyFill="1" applyProtection="1"/>
    <xf numFmtId="0" fontId="0" fillId="13" borderId="0" xfId="0" applyFill="1" applyProtection="1"/>
    <xf numFmtId="0" fontId="14" fillId="0" borderId="0" xfId="0" applyFont="1" applyProtection="1"/>
    <xf numFmtId="0" fontId="2" fillId="0" borderId="0" xfId="0" applyFont="1" applyBorder="1" applyAlignment="1" applyProtection="1">
      <alignment vertical="center" wrapText="1"/>
    </xf>
    <xf numFmtId="0" fontId="36" fillId="0" borderId="0" xfId="0" applyFont="1" applyAlignment="1" applyProtection="1">
      <alignment horizontal="center"/>
    </xf>
    <xf numFmtId="0" fontId="31" fillId="13" borderId="0" xfId="0" applyFont="1" applyFill="1" applyAlignment="1" applyProtection="1">
      <alignment horizontal="left" vertical="center" wrapText="1"/>
    </xf>
    <xf numFmtId="0" fontId="31" fillId="13" borderId="0" xfId="0" applyFont="1" applyFill="1" applyBorder="1" applyAlignment="1" applyProtection="1">
      <alignment horizontal="left" vertical="center" wrapText="1"/>
    </xf>
    <xf numFmtId="0" fontId="34" fillId="0" borderId="0" xfId="0" applyFont="1" applyAlignment="1" applyProtection="1"/>
    <xf numFmtId="0" fontId="0" fillId="0" borderId="0" xfId="0" applyAlignment="1" applyProtection="1"/>
    <xf numFmtId="0" fontId="2" fillId="11" borderId="7" xfId="0" applyFont="1" applyFill="1" applyBorder="1" applyAlignment="1" applyProtection="1">
      <alignment horizontal="center" wrapText="1"/>
    </xf>
    <xf numFmtId="0" fontId="2" fillId="13" borderId="0" xfId="0" applyFont="1" applyFill="1" applyBorder="1" applyAlignment="1" applyProtection="1">
      <alignment horizontal="center"/>
    </xf>
    <xf numFmtId="10" fontId="5" fillId="13" borderId="0" xfId="2" applyNumberFormat="1" applyFont="1" applyFill="1" applyBorder="1" applyAlignment="1" applyProtection="1">
      <alignment horizontal="center" vertical="center"/>
    </xf>
    <xf numFmtId="10" fontId="5" fillId="13" borderId="0" xfId="2" applyNumberFormat="1" applyFont="1" applyFill="1" applyAlignment="1" applyProtection="1">
      <alignment horizontal="center" vertical="center"/>
    </xf>
    <xf numFmtId="0" fontId="31" fillId="3" borderId="65" xfId="0" applyFont="1" applyFill="1" applyBorder="1" applyAlignment="1" applyProtection="1">
      <alignment horizontal="left"/>
    </xf>
    <xf numFmtId="2" fontId="31" fillId="11" borderId="65" xfId="0" applyNumberFormat="1" applyFont="1" applyFill="1" applyBorder="1" applyAlignment="1" applyProtection="1">
      <alignment horizontal="center"/>
    </xf>
    <xf numFmtId="10" fontId="31" fillId="13" borderId="0" xfId="2" applyNumberFormat="1" applyFont="1" applyFill="1" applyBorder="1" applyAlignment="1" applyProtection="1">
      <alignment horizontal="center" vertical="center"/>
    </xf>
    <xf numFmtId="10" fontId="5" fillId="0" borderId="0" xfId="2" applyNumberFormat="1" applyFont="1" applyAlignment="1" applyProtection="1">
      <alignment horizontal="center" vertical="center"/>
    </xf>
    <xf numFmtId="0" fontId="31" fillId="0" borderId="68" xfId="0" applyFont="1" applyBorder="1" applyAlignment="1" applyProtection="1">
      <alignment horizontal="left" indent="1"/>
    </xf>
    <xf numFmtId="39" fontId="31" fillId="0" borderId="68" xfId="0" applyNumberFormat="1" applyFont="1" applyBorder="1" applyAlignment="1" applyProtection="1">
      <alignment horizontal="center"/>
    </xf>
    <xf numFmtId="39" fontId="38" fillId="0" borderId="68" xfId="0" applyNumberFormat="1" applyFont="1" applyBorder="1" applyAlignment="1" applyProtection="1">
      <alignment horizontal="center"/>
    </xf>
    <xf numFmtId="10" fontId="8" fillId="0" borderId="68" xfId="0" applyNumberFormat="1" applyFont="1" applyBorder="1" applyAlignment="1" applyProtection="1">
      <alignment horizontal="center"/>
    </xf>
    <xf numFmtId="2" fontId="31" fillId="0" borderId="68" xfId="0" applyNumberFormat="1" applyFont="1" applyBorder="1" applyAlignment="1" applyProtection="1">
      <alignment horizontal="center"/>
    </xf>
    <xf numFmtId="0" fontId="31" fillId="3" borderId="66" xfId="5" applyFont="1" applyFill="1" applyBorder="1" applyAlignment="1" applyProtection="1"/>
    <xf numFmtId="39" fontId="31" fillId="3" borderId="66" xfId="5" applyNumberFormat="1" applyFont="1" applyFill="1" applyBorder="1" applyAlignment="1" applyProtection="1">
      <alignment horizontal="center"/>
    </xf>
    <xf numFmtId="2" fontId="31" fillId="11" borderId="66" xfId="5" applyNumberFormat="1" applyFont="1" applyFill="1" applyBorder="1" applyAlignment="1" applyProtection="1">
      <alignment horizontal="center"/>
    </xf>
    <xf numFmtId="0" fontId="31" fillId="3" borderId="66" xfId="0" applyFont="1" applyFill="1" applyBorder="1" applyAlignment="1" applyProtection="1">
      <alignment horizontal="left"/>
    </xf>
    <xf numFmtId="2" fontId="31" fillId="11" borderId="66" xfId="0" applyNumberFormat="1" applyFont="1" applyFill="1" applyBorder="1" applyAlignment="1" applyProtection="1">
      <alignment horizontal="center"/>
    </xf>
    <xf numFmtId="0" fontId="31" fillId="3" borderId="66" xfId="0" applyFont="1" applyFill="1" applyBorder="1" applyProtection="1"/>
    <xf numFmtId="0" fontId="5" fillId="0" borderId="0" xfId="0" applyFont="1" applyAlignment="1" applyProtection="1">
      <alignment horizontal="center"/>
    </xf>
    <xf numFmtId="2" fontId="5" fillId="0" borderId="0" xfId="0" applyNumberFormat="1" applyFont="1" applyAlignment="1" applyProtection="1">
      <alignment horizontal="center"/>
      <protection locked="0"/>
    </xf>
    <xf numFmtId="39" fontId="5" fillId="0" borderId="0" xfId="6" applyNumberFormat="1" applyFont="1" applyAlignment="1" applyProtection="1">
      <alignment horizontal="center"/>
    </xf>
    <xf numFmtId="39" fontId="5" fillId="3" borderId="65" xfId="0" applyNumberFormat="1" applyFont="1" applyFill="1" applyBorder="1" applyAlignment="1" applyProtection="1">
      <alignment horizontal="center"/>
    </xf>
    <xf numFmtId="39" fontId="31" fillId="3" borderId="65" xfId="6" applyNumberFormat="1" applyFont="1" applyFill="1" applyBorder="1" applyAlignment="1" applyProtection="1">
      <alignment horizontal="center"/>
    </xf>
    <xf numFmtId="0" fontId="31" fillId="3" borderId="68" xfId="0" applyFont="1" applyFill="1" applyBorder="1" applyAlignment="1" applyProtection="1">
      <alignment horizontal="left" indent="1"/>
    </xf>
    <xf numFmtId="39" fontId="5" fillId="3" borderId="68" xfId="0" applyNumberFormat="1" applyFont="1" applyFill="1" applyBorder="1" applyAlignment="1" applyProtection="1">
      <alignment horizontal="center"/>
    </xf>
    <xf numFmtId="39" fontId="31" fillId="3" borderId="68" xfId="6" applyNumberFormat="1" applyFont="1" applyFill="1" applyBorder="1" applyAlignment="1" applyProtection="1">
      <alignment horizontal="center"/>
    </xf>
    <xf numFmtId="0" fontId="31" fillId="0" borderId="0" xfId="0" quotePrefix="1" applyFont="1" applyAlignment="1" applyProtection="1">
      <alignment horizontal="left" indent="1"/>
    </xf>
    <xf numFmtId="39" fontId="0" fillId="0" borderId="0" xfId="6" applyNumberFormat="1" applyFont="1" applyAlignment="1" applyProtection="1">
      <alignment horizontal="center"/>
    </xf>
    <xf numFmtId="39" fontId="5" fillId="0" borderId="0" xfId="6" applyNumberFormat="1" applyFont="1" applyBorder="1" applyAlignment="1" applyProtection="1">
      <alignment horizontal="center"/>
    </xf>
    <xf numFmtId="39" fontId="0" fillId="3" borderId="65" xfId="0" applyNumberFormat="1" applyFill="1" applyBorder="1" applyAlignment="1" applyProtection="1">
      <alignment horizontal="center"/>
    </xf>
    <xf numFmtId="39" fontId="0" fillId="3" borderId="65" xfId="6" applyNumberFormat="1" applyFont="1" applyFill="1" applyBorder="1" applyAlignment="1" applyProtection="1">
      <alignment horizontal="center"/>
    </xf>
    <xf numFmtId="39" fontId="8" fillId="3" borderId="66" xfId="6" applyNumberFormat="1" applyFont="1" applyFill="1" applyBorder="1" applyAlignment="1" applyProtection="1">
      <alignment horizontal="center"/>
    </xf>
    <xf numFmtId="0" fontId="5" fillId="0" borderId="0" xfId="0" quotePrefix="1" applyFont="1" applyAlignment="1" applyProtection="1">
      <alignment horizontal="left" indent="1"/>
    </xf>
    <xf numFmtId="0" fontId="31" fillId="3" borderId="65" xfId="0" applyFont="1" applyFill="1" applyBorder="1" applyProtection="1"/>
    <xf numFmtId="39" fontId="8" fillId="3" borderId="65" xfId="6" applyNumberFormat="1" applyFont="1" applyFill="1" applyBorder="1" applyAlignment="1" applyProtection="1">
      <alignment horizontal="center"/>
    </xf>
    <xf numFmtId="39" fontId="0" fillId="3" borderId="66" xfId="0" applyNumberFormat="1" applyFill="1" applyBorder="1" applyAlignment="1" applyProtection="1">
      <alignment horizontal="center"/>
    </xf>
    <xf numFmtId="0" fontId="31" fillId="3" borderId="67" xfId="0" applyFont="1" applyFill="1" applyBorder="1" applyAlignment="1" applyProtection="1">
      <alignment horizontal="left"/>
    </xf>
    <xf numFmtId="39" fontId="0" fillId="3" borderId="67" xfId="0" applyNumberFormat="1" applyFill="1" applyBorder="1" applyAlignment="1" applyProtection="1">
      <alignment horizontal="center"/>
    </xf>
    <xf numFmtId="39" fontId="8" fillId="3" borderId="67" xfId="0" applyNumberFormat="1" applyFont="1" applyFill="1" applyBorder="1" applyAlignment="1" applyProtection="1">
      <alignment horizontal="center"/>
    </xf>
    <xf numFmtId="0" fontId="31" fillId="3" borderId="7" xfId="0" applyFont="1" applyFill="1" applyBorder="1" applyAlignment="1" applyProtection="1">
      <alignment horizontal="left"/>
    </xf>
    <xf numFmtId="39" fontId="8" fillId="3" borderId="7" xfId="0" applyNumberFormat="1" applyFont="1" applyFill="1" applyBorder="1" applyAlignment="1" applyProtection="1">
      <alignment horizontal="center"/>
    </xf>
    <xf numFmtId="0" fontId="34" fillId="13" borderId="0" xfId="0" applyFont="1" applyFill="1" applyBorder="1" applyAlignment="1" applyProtection="1">
      <alignment horizontal="left"/>
    </xf>
    <xf numFmtId="164" fontId="20" fillId="13" borderId="0" xfId="0" applyNumberFormat="1" applyFont="1" applyFill="1" applyAlignment="1" applyProtection="1">
      <alignment horizontal="center"/>
    </xf>
    <xf numFmtId="2" fontId="3" fillId="14" borderId="16" xfId="1" applyNumberFormat="1" applyFont="1" applyFill="1" applyBorder="1" applyAlignment="1" applyProtection="1">
      <alignment horizontal="center" vertical="center" wrapText="1"/>
    </xf>
    <xf numFmtId="10" fontId="3" fillId="14" borderId="16" xfId="1" applyNumberFormat="1" applyFont="1" applyFill="1" applyBorder="1" applyAlignment="1" applyProtection="1">
      <alignment horizontal="center" vertical="center" wrapText="1"/>
    </xf>
    <xf numFmtId="0" fontId="5" fillId="14" borderId="0" xfId="0" applyFont="1" applyFill="1" applyProtection="1"/>
    <xf numFmtId="0" fontId="3" fillId="4" borderId="0" xfId="1" applyFont="1" applyFill="1" applyBorder="1" applyAlignment="1" applyProtection="1">
      <alignment horizontal="center" vertical="center" wrapText="1"/>
      <protection locked="0"/>
    </xf>
    <xf numFmtId="0" fontId="0" fillId="0" borderId="71" xfId="0" applyBorder="1" applyProtection="1"/>
    <xf numFmtId="0" fontId="29" fillId="0" borderId="72" xfId="0" applyFont="1" applyBorder="1" applyAlignment="1" applyProtection="1">
      <alignment vertical="center"/>
    </xf>
    <xf numFmtId="0" fontId="29" fillId="0" borderId="73" xfId="0" applyFont="1" applyBorder="1" applyAlignment="1" applyProtection="1">
      <alignment vertical="center"/>
    </xf>
    <xf numFmtId="0" fontId="40" fillId="0" borderId="74" xfId="7" applyFont="1" applyFill="1" applyBorder="1" applyAlignment="1" applyProtection="1"/>
    <xf numFmtId="0" fontId="40" fillId="0" borderId="75" xfId="7" applyFont="1" applyFill="1" applyBorder="1" applyAlignment="1" applyProtection="1"/>
    <xf numFmtId="0" fontId="40" fillId="0" borderId="0" xfId="7" applyFont="1" applyFill="1" applyBorder="1" applyAlignment="1" applyProtection="1"/>
    <xf numFmtId="0" fontId="31" fillId="3" borderId="0" xfId="0" applyFont="1" applyFill="1" applyAlignment="1" applyProtection="1">
      <alignment horizontal="left"/>
    </xf>
    <xf numFmtId="0" fontId="31" fillId="3" borderId="0" xfId="0" applyFont="1" applyFill="1" applyAlignment="1" applyProtection="1">
      <alignment horizontal="center"/>
    </xf>
    <xf numFmtId="0" fontId="38" fillId="3" borderId="0" xfId="0" applyFont="1" applyFill="1" applyAlignment="1" applyProtection="1">
      <alignment horizontal="center"/>
    </xf>
    <xf numFmtId="0" fontId="31" fillId="3" borderId="0" xfId="0" applyFont="1" applyFill="1" applyProtection="1"/>
    <xf numFmtId="0" fontId="5" fillId="3" borderId="0" xfId="0" applyFont="1" applyFill="1" applyProtection="1"/>
    <xf numFmtId="0" fontId="5" fillId="0" borderId="68" xfId="0" applyFont="1" applyBorder="1" applyAlignment="1" applyProtection="1">
      <alignment horizontal="left"/>
    </xf>
    <xf numFmtId="10" fontId="5" fillId="0" borderId="68" xfId="2" applyNumberFormat="1" applyFont="1" applyBorder="1" applyAlignment="1" applyProtection="1">
      <alignment horizontal="center"/>
    </xf>
    <xf numFmtId="2" fontId="5" fillId="0" borderId="68" xfId="0" applyNumberFormat="1" applyFont="1" applyBorder="1" applyAlignment="1" applyProtection="1">
      <alignment horizontal="center"/>
    </xf>
    <xf numFmtId="2" fontId="5" fillId="0" borderId="68" xfId="2" applyNumberFormat="1" applyFont="1" applyBorder="1" applyAlignment="1" applyProtection="1">
      <alignment horizontal="center"/>
    </xf>
    <xf numFmtId="0" fontId="5" fillId="0" borderId="68" xfId="0" applyFont="1" applyBorder="1" applyAlignment="1" applyProtection="1">
      <alignment horizontal="left" vertical="center"/>
    </xf>
    <xf numFmtId="0" fontId="5" fillId="0" borderId="68" xfId="0" applyFont="1" applyBorder="1" applyAlignment="1" applyProtection="1">
      <alignment horizontal="left" vertical="center" wrapText="1"/>
    </xf>
    <xf numFmtId="39" fontId="5" fillId="0" borderId="68" xfId="0" applyNumberFormat="1" applyFont="1" applyBorder="1" applyAlignment="1" applyProtection="1">
      <alignment horizontal="center" vertical="center"/>
    </xf>
    <xf numFmtId="0" fontId="5" fillId="0" borderId="0" xfId="0" applyFont="1" applyAlignment="1" applyProtection="1">
      <alignment vertical="center"/>
    </xf>
    <xf numFmtId="39" fontId="5" fillId="0" borderId="68" xfId="0" applyNumberFormat="1" applyFont="1" applyBorder="1" applyProtection="1"/>
    <xf numFmtId="39" fontId="5" fillId="0" borderId="68" xfId="0" applyNumberFormat="1" applyFont="1" applyBorder="1" applyAlignment="1" applyProtection="1">
      <alignment horizontal="center"/>
    </xf>
    <xf numFmtId="2" fontId="5" fillId="0" borderId="68" xfId="0" applyNumberFormat="1" applyFont="1" applyBorder="1" applyAlignment="1" applyProtection="1">
      <alignment horizontal="center" vertical="center"/>
    </xf>
    <xf numFmtId="0" fontId="5" fillId="0" borderId="68" xfId="0" applyFont="1" applyBorder="1" applyAlignment="1" applyProtection="1">
      <alignment horizontal="left" indent="2"/>
    </xf>
    <xf numFmtId="9" fontId="5" fillId="0" borderId="68" xfId="2" applyFont="1" applyBorder="1" applyProtection="1"/>
    <xf numFmtId="2" fontId="5" fillId="0" borderId="68" xfId="2" applyNumberFormat="1" applyFont="1" applyBorder="1" applyAlignment="1" applyProtection="1">
      <alignment horizontal="center" vertical="center"/>
    </xf>
    <xf numFmtId="0" fontId="5" fillId="0" borderId="68" xfId="0" applyFont="1" applyBorder="1" applyProtection="1">
      <protection locked="0"/>
    </xf>
    <xf numFmtId="0" fontId="5" fillId="0" borderId="68" xfId="0" applyFont="1" applyBorder="1" applyAlignment="1" applyProtection="1">
      <alignment vertical="center"/>
      <protection locked="0"/>
    </xf>
    <xf numFmtId="10" fontId="3" fillId="14" borderId="16" xfId="2" applyNumberFormat="1" applyFont="1" applyFill="1" applyBorder="1" applyAlignment="1" applyProtection="1">
      <alignment horizontal="center" vertical="center" wrapText="1"/>
    </xf>
    <xf numFmtId="1" fontId="11" fillId="0" borderId="0" xfId="1" applyNumberFormat="1" applyFont="1" applyBorder="1" applyAlignment="1" applyProtection="1">
      <alignment horizontal="center" vertical="top"/>
    </xf>
    <xf numFmtId="0" fontId="0" fillId="0" borderId="0" xfId="0" applyBorder="1"/>
    <xf numFmtId="0" fontId="0" fillId="0" borderId="0" xfId="0" applyBorder="1" applyAlignment="1">
      <alignment horizontal="center"/>
    </xf>
    <xf numFmtId="0" fontId="18" fillId="0" borderId="0" xfId="3" applyAlignment="1">
      <alignment horizontal="center" vertical="center"/>
    </xf>
    <xf numFmtId="0" fontId="0" fillId="0" borderId="16" xfId="0" applyBorder="1" applyAlignment="1">
      <alignment horizontal="center"/>
    </xf>
    <xf numFmtId="0" fontId="0" fillId="0" borderId="16" xfId="0" applyBorder="1" applyAlignment="1">
      <alignment horizontal="center" vertical="center"/>
    </xf>
    <xf numFmtId="0" fontId="12" fillId="13" borderId="0" xfId="0" applyFont="1" applyFill="1" applyBorder="1" applyProtection="1"/>
    <xf numFmtId="0" fontId="48" fillId="13" borderId="0" xfId="0" applyFont="1" applyFill="1" applyBorder="1" applyProtection="1"/>
    <xf numFmtId="2" fontId="12" fillId="13" borderId="0" xfId="0" applyNumberFormat="1" applyFont="1" applyFill="1" applyBorder="1" applyProtection="1"/>
    <xf numFmtId="0" fontId="0" fillId="0" borderId="16" xfId="0" applyBorder="1" applyAlignment="1">
      <alignment horizontal="center" vertical="center" wrapText="1"/>
    </xf>
    <xf numFmtId="0" fontId="0" fillId="0" borderId="16" xfId="0" applyFill="1" applyBorder="1" applyAlignment="1">
      <alignment horizontal="center" vertical="center"/>
    </xf>
    <xf numFmtId="0" fontId="0" fillId="0" borderId="16" xfId="0" applyFill="1" applyBorder="1" applyAlignment="1">
      <alignment horizontal="center" vertical="center" wrapText="1"/>
    </xf>
    <xf numFmtId="0" fontId="16" fillId="6" borderId="16" xfId="0" applyFont="1" applyFill="1" applyBorder="1" applyAlignment="1">
      <alignment horizontal="center" vertical="center"/>
    </xf>
    <xf numFmtId="0" fontId="0" fillId="0" borderId="10" xfId="0" applyBorder="1" applyAlignment="1">
      <alignment horizontal="center"/>
    </xf>
    <xf numFmtId="0" fontId="0" fillId="0" borderId="10" xfId="0" applyBorder="1"/>
    <xf numFmtId="2" fontId="3" fillId="14" borderId="16" xfId="1" applyNumberFormat="1" applyFont="1" applyFill="1" applyBorder="1" applyAlignment="1" applyProtection="1">
      <alignment horizontal="center" vertical="center"/>
    </xf>
    <xf numFmtId="2" fontId="3" fillId="14" borderId="17" xfId="1" applyNumberFormat="1" applyFont="1" applyFill="1" applyBorder="1" applyAlignment="1" applyProtection="1">
      <alignment horizontal="center" vertical="center"/>
    </xf>
    <xf numFmtId="0" fontId="0" fillId="0" borderId="16" xfId="0" applyBorder="1" applyAlignment="1">
      <alignment horizontal="left" vertical="center"/>
    </xf>
    <xf numFmtId="0" fontId="0" fillId="0" borderId="82" xfId="0" applyBorder="1" applyAlignment="1">
      <alignment horizontal="left" vertical="center" wrapText="1"/>
    </xf>
    <xf numFmtId="0" fontId="0" fillId="0" borderId="68" xfId="0" applyBorder="1" applyAlignment="1">
      <alignment horizontal="left" vertical="center" wrapText="1"/>
    </xf>
    <xf numFmtId="0" fontId="0" fillId="0" borderId="28" xfId="0" applyBorder="1" applyAlignment="1">
      <alignment horizontal="left" vertical="center" wrapText="1"/>
    </xf>
    <xf numFmtId="0" fontId="0" fillId="0" borderId="16" xfId="0" applyBorder="1" applyAlignment="1">
      <alignment horizontal="left" vertical="center" wrapText="1"/>
    </xf>
    <xf numFmtId="0" fontId="47" fillId="0" borderId="0" xfId="3" applyFont="1" applyBorder="1" applyAlignment="1">
      <alignment horizontal="center" vertical="center"/>
    </xf>
    <xf numFmtId="0" fontId="47" fillId="0" borderId="10" xfId="3" applyFont="1" applyBorder="1" applyAlignment="1">
      <alignment horizontal="center" vertical="center"/>
    </xf>
    <xf numFmtId="0" fontId="0" fillId="0" borderId="82" xfId="0" applyBorder="1" applyAlignment="1">
      <alignment horizontal="left" vertical="center"/>
    </xf>
    <xf numFmtId="0" fontId="0" fillId="0" borderId="68" xfId="0" applyBorder="1" applyAlignment="1">
      <alignment horizontal="left" vertical="center"/>
    </xf>
    <xf numFmtId="0" fontId="0" fillId="0" borderId="28" xfId="0" applyBorder="1" applyAlignment="1">
      <alignment horizontal="left" vertical="center"/>
    </xf>
    <xf numFmtId="0" fontId="16" fillId="6" borderId="16" xfId="0" applyFont="1" applyFill="1" applyBorder="1" applyAlignment="1">
      <alignment horizontal="center" vertical="center"/>
    </xf>
    <xf numFmtId="22" fontId="26" fillId="5" borderId="60" xfId="4" applyNumberFormat="1" applyFont="1" applyBorder="1" applyAlignment="1" applyProtection="1">
      <alignment horizontal="center" vertical="center"/>
      <protection locked="0"/>
    </xf>
    <xf numFmtId="22" fontId="26" fillId="5" borderId="61" xfId="4" applyNumberFormat="1" applyFont="1" applyBorder="1" applyAlignment="1" applyProtection="1">
      <alignment horizontal="center" vertical="center"/>
      <protection locked="0"/>
    </xf>
    <xf numFmtId="22" fontId="26" fillId="5" borderId="62" xfId="4" applyNumberFormat="1" applyFont="1" applyBorder="1" applyAlignment="1" applyProtection="1">
      <alignment horizontal="center" vertical="center"/>
      <protection locked="0"/>
    </xf>
    <xf numFmtId="0" fontId="28" fillId="7" borderId="60" xfId="0" applyFont="1" applyFill="1" applyBorder="1" applyAlignment="1" applyProtection="1">
      <alignment horizontal="center" vertical="center"/>
      <protection locked="0"/>
    </xf>
    <xf numFmtId="0" fontId="28" fillId="7" borderId="62" xfId="0" applyFont="1" applyFill="1" applyBorder="1" applyAlignment="1" applyProtection="1">
      <alignment horizontal="center" vertical="center"/>
      <protection locked="0"/>
    </xf>
    <xf numFmtId="0" fontId="26" fillId="5" borderId="60" xfId="4" applyFont="1" applyBorder="1" applyAlignment="1" applyProtection="1">
      <alignment horizontal="center" vertical="center"/>
      <protection locked="0"/>
    </xf>
    <xf numFmtId="0" fontId="26" fillId="5" borderId="61" xfId="4" applyFont="1" applyBorder="1" applyAlignment="1" applyProtection="1">
      <alignment horizontal="center" vertical="center"/>
      <protection locked="0"/>
    </xf>
    <xf numFmtId="0" fontId="26" fillId="5" borderId="62" xfId="4" applyFont="1" applyBorder="1" applyAlignment="1" applyProtection="1">
      <alignment horizontal="center" vertical="center"/>
      <protection locked="0"/>
    </xf>
    <xf numFmtId="0" fontId="26" fillId="5" borderId="60" xfId="4" applyFont="1" applyBorder="1" applyAlignment="1" applyProtection="1">
      <alignment horizontal="left" vertical="center"/>
      <protection locked="0"/>
    </xf>
    <xf numFmtId="0" fontId="26" fillId="5" borderId="61" xfId="4" applyFont="1" applyBorder="1" applyAlignment="1" applyProtection="1">
      <alignment horizontal="left" vertical="center"/>
      <protection locked="0"/>
    </xf>
    <xf numFmtId="0" fontId="26" fillId="5" borderId="62" xfId="4" applyFont="1" applyBorder="1" applyAlignment="1" applyProtection="1">
      <alignment horizontal="left" vertical="center"/>
      <protection locked="0"/>
    </xf>
    <xf numFmtId="0" fontId="25" fillId="0" borderId="54" xfId="0" applyFont="1" applyBorder="1" applyAlignment="1" applyProtection="1">
      <alignment horizontal="center" vertical="center"/>
    </xf>
    <xf numFmtId="0" fontId="25" fillId="0" borderId="63" xfId="0" applyFont="1" applyBorder="1" applyAlignment="1" applyProtection="1">
      <alignment horizontal="center" vertical="center"/>
    </xf>
    <xf numFmtId="0" fontId="25" fillId="0" borderId="0" xfId="0" applyFont="1" applyBorder="1" applyAlignment="1" applyProtection="1">
      <alignment horizontal="center" vertical="center" wrapText="1"/>
    </xf>
    <xf numFmtId="0" fontId="25" fillId="0" borderId="63" xfId="0" applyFont="1" applyBorder="1" applyAlignment="1" applyProtection="1">
      <alignment horizontal="center" vertical="center" wrapText="1"/>
    </xf>
    <xf numFmtId="0" fontId="26" fillId="7" borderId="60" xfId="0" applyFont="1" applyFill="1" applyBorder="1" applyAlignment="1" applyProtection="1">
      <alignment horizontal="left" vertical="center"/>
      <protection locked="0"/>
    </xf>
    <xf numFmtId="0" fontId="26" fillId="7" borderId="62" xfId="0" applyFont="1" applyFill="1" applyBorder="1" applyAlignment="1" applyProtection="1">
      <alignment horizontal="left" vertical="center"/>
      <protection locked="0"/>
    </xf>
    <xf numFmtId="0" fontId="25" fillId="0" borderId="54" xfId="0" applyFont="1" applyBorder="1" applyAlignment="1" applyProtection="1">
      <alignment horizontal="center" vertical="center" wrapText="1"/>
    </xf>
    <xf numFmtId="0" fontId="2" fillId="0" borderId="0" xfId="0" applyFont="1" applyBorder="1" applyAlignment="1" applyProtection="1">
      <alignment horizontal="left" vertical="center" wrapText="1"/>
    </xf>
    <xf numFmtId="0" fontId="2" fillId="0" borderId="10" xfId="0" applyFont="1" applyBorder="1" applyAlignment="1" applyProtection="1">
      <alignment horizontal="left" vertical="center" wrapText="1"/>
    </xf>
    <xf numFmtId="0" fontId="36" fillId="0" borderId="0" xfId="0" applyFont="1" applyAlignment="1" applyProtection="1">
      <alignment horizontal="right"/>
      <protection locked="0"/>
    </xf>
    <xf numFmtId="0" fontId="38" fillId="0" borderId="0" xfId="0" applyFont="1" applyAlignment="1" applyProtection="1">
      <alignment horizontal="center" vertical="center"/>
    </xf>
    <xf numFmtId="0" fontId="2" fillId="0" borderId="0" xfId="0" applyFont="1" applyBorder="1" applyAlignment="1" applyProtection="1">
      <alignment horizontal="center" vertical="center" wrapText="1"/>
    </xf>
    <xf numFmtId="0" fontId="2" fillId="0" borderId="10" xfId="0" applyFont="1" applyBorder="1" applyAlignment="1" applyProtection="1">
      <alignment horizontal="center" vertical="center" wrapText="1"/>
    </xf>
    <xf numFmtId="10" fontId="31" fillId="11" borderId="66" xfId="2" applyNumberFormat="1" applyFont="1" applyFill="1" applyBorder="1" applyAlignment="1" applyProtection="1">
      <alignment horizontal="center" vertical="center"/>
    </xf>
    <xf numFmtId="10" fontId="5" fillId="0" borderId="39" xfId="2" applyNumberFormat="1" applyFont="1" applyBorder="1" applyAlignment="1" applyProtection="1">
      <alignment horizontal="center" vertical="center"/>
    </xf>
    <xf numFmtId="10" fontId="31" fillId="11" borderId="65" xfId="2" applyNumberFormat="1" applyFont="1" applyFill="1" applyBorder="1" applyAlignment="1" applyProtection="1">
      <alignment horizontal="center" vertical="center"/>
    </xf>
    <xf numFmtId="10" fontId="31" fillId="0" borderId="68" xfId="2" applyNumberFormat="1" applyFont="1" applyBorder="1" applyAlignment="1" applyProtection="1">
      <alignment horizontal="center" vertical="center"/>
    </xf>
    <xf numFmtId="10" fontId="5" fillId="0" borderId="1" xfId="2" applyNumberFormat="1" applyFont="1" applyBorder="1" applyAlignment="1" applyProtection="1">
      <alignment horizontal="center" vertical="center"/>
    </xf>
    <xf numFmtId="10" fontId="5" fillId="0" borderId="0" xfId="2" applyNumberFormat="1" applyFont="1" applyAlignment="1" applyProtection="1">
      <alignment horizontal="center" vertical="center"/>
    </xf>
    <xf numFmtId="10" fontId="5" fillId="0" borderId="81" xfId="2" applyNumberFormat="1" applyFont="1" applyBorder="1" applyAlignment="1" applyProtection="1">
      <alignment horizontal="center" vertical="center"/>
    </xf>
    <xf numFmtId="10" fontId="5" fillId="0" borderId="80" xfId="2" applyNumberFormat="1" applyFont="1" applyBorder="1" applyAlignment="1" applyProtection="1">
      <alignment horizontal="center" vertical="center"/>
    </xf>
    <xf numFmtId="0" fontId="36" fillId="0" borderId="0" xfId="0" applyFont="1" applyAlignment="1" applyProtection="1">
      <alignment horizontal="center"/>
    </xf>
    <xf numFmtId="0" fontId="31" fillId="0" borderId="0" xfId="0" applyFont="1" applyAlignment="1" applyProtection="1">
      <alignment horizontal="left" vertical="center" wrapText="1"/>
    </xf>
    <xf numFmtId="0" fontId="31" fillId="0" borderId="10" xfId="0" applyFont="1" applyBorder="1" applyAlignment="1" applyProtection="1">
      <alignment horizontal="left" vertical="center" wrapText="1"/>
    </xf>
    <xf numFmtId="0" fontId="2" fillId="11" borderId="7" xfId="0" applyFont="1" applyFill="1" applyBorder="1" applyAlignment="1" applyProtection="1">
      <alignment horizontal="center" wrapText="1"/>
    </xf>
    <xf numFmtId="0" fontId="41" fillId="0" borderId="69" xfId="0" applyFont="1" applyBorder="1" applyAlignment="1" applyProtection="1">
      <alignment horizontal="center"/>
    </xf>
    <xf numFmtId="0" fontId="41" fillId="0" borderId="70" xfId="0" applyFont="1" applyBorder="1" applyAlignment="1" applyProtection="1">
      <alignment horizontal="center"/>
    </xf>
    <xf numFmtId="0" fontId="41" fillId="0" borderId="72" xfId="0" applyFont="1" applyBorder="1" applyAlignment="1" applyProtection="1">
      <alignment horizontal="center"/>
    </xf>
    <xf numFmtId="0" fontId="41" fillId="0" borderId="73" xfId="0" applyFont="1" applyBorder="1" applyAlignment="1" applyProtection="1">
      <alignment horizontal="center"/>
    </xf>
    <xf numFmtId="0" fontId="9" fillId="2" borderId="0" xfId="0" applyFont="1" applyFill="1" applyBorder="1" applyAlignment="1" applyProtection="1">
      <alignment horizontal="center" vertical="center"/>
    </xf>
    <xf numFmtId="0" fontId="9" fillId="2" borderId="0" xfId="1" applyFont="1" applyFill="1" applyBorder="1" applyAlignment="1" applyProtection="1">
      <alignment horizontal="center" vertical="center"/>
    </xf>
    <xf numFmtId="0" fontId="10" fillId="4" borderId="6" xfId="1" applyFont="1" applyFill="1" applyBorder="1" applyAlignment="1" applyProtection="1">
      <alignment horizontal="center" vertical="center"/>
      <protection locked="0"/>
    </xf>
    <xf numFmtId="0" fontId="10" fillId="4" borderId="7" xfId="1" applyFont="1" applyFill="1" applyBorder="1" applyAlignment="1" applyProtection="1">
      <alignment horizontal="center" vertical="center"/>
      <protection locked="0"/>
    </xf>
    <xf numFmtId="0" fontId="10" fillId="4" borderId="8" xfId="1" applyFont="1" applyFill="1" applyBorder="1" applyAlignment="1" applyProtection="1">
      <alignment horizontal="center" vertical="center"/>
      <protection locked="0"/>
    </xf>
    <xf numFmtId="2" fontId="2" fillId="0" borderId="46" xfId="1" applyNumberFormat="1" applyFont="1" applyBorder="1" applyAlignment="1" applyProtection="1">
      <alignment horizontal="center" vertical="center" wrapText="1"/>
    </xf>
    <xf numFmtId="2" fontId="2" fillId="0" borderId="44" xfId="1" applyNumberFormat="1" applyFont="1" applyBorder="1" applyAlignment="1" applyProtection="1">
      <alignment horizontal="center" vertical="center" wrapText="1"/>
    </xf>
    <xf numFmtId="0" fontId="7" fillId="4" borderId="0" xfId="0" applyFont="1" applyFill="1" applyAlignment="1" applyProtection="1">
      <alignment horizontal="left" wrapText="1"/>
    </xf>
    <xf numFmtId="0" fontId="8" fillId="4" borderId="0" xfId="0" applyFont="1" applyFill="1" applyAlignment="1" applyProtection="1">
      <alignment horizontal="center" vertical="center" wrapText="1"/>
    </xf>
    <xf numFmtId="0" fontId="0" fillId="4" borderId="0" xfId="0" applyFont="1" applyFill="1" applyAlignment="1" applyProtection="1">
      <alignment horizontal="center" vertical="center"/>
    </xf>
    <xf numFmtId="2" fontId="13" fillId="3" borderId="35" xfId="1" applyNumberFormat="1" applyFont="1" applyFill="1" applyBorder="1" applyAlignment="1" applyProtection="1">
      <alignment horizontal="right" vertical="center"/>
    </xf>
    <xf numFmtId="2" fontId="13" fillId="3" borderId="32" xfId="1" applyNumberFormat="1" applyFont="1" applyFill="1" applyBorder="1" applyAlignment="1" applyProtection="1">
      <alignment horizontal="right" vertical="center"/>
    </xf>
    <xf numFmtId="2" fontId="13" fillId="3" borderId="29" xfId="1" applyNumberFormat="1" applyFont="1" applyFill="1" applyBorder="1" applyAlignment="1" applyProtection="1">
      <alignment horizontal="right" vertical="center"/>
    </xf>
    <xf numFmtId="0" fontId="13" fillId="3" borderId="30" xfId="1" applyFont="1" applyFill="1" applyBorder="1" applyAlignment="1" applyProtection="1">
      <alignment horizontal="center" wrapText="1"/>
    </xf>
    <xf numFmtId="0" fontId="13" fillId="3" borderId="31" xfId="1" applyFont="1" applyFill="1" applyBorder="1" applyAlignment="1" applyProtection="1">
      <alignment horizontal="center" wrapText="1"/>
    </xf>
    <xf numFmtId="0" fontId="14" fillId="0" borderId="25" xfId="0" applyFont="1" applyBorder="1" applyAlignment="1" applyProtection="1">
      <alignment horizontal="center"/>
    </xf>
    <xf numFmtId="0" fontId="14" fillId="0" borderId="19" xfId="0" applyFont="1" applyBorder="1" applyAlignment="1" applyProtection="1">
      <alignment horizontal="center"/>
    </xf>
    <xf numFmtId="0" fontId="7" fillId="11" borderId="0" xfId="0" applyFont="1" applyFill="1" applyAlignment="1" applyProtection="1">
      <alignment horizontal="left" wrapText="1"/>
    </xf>
    <xf numFmtId="0" fontId="8" fillId="11" borderId="0" xfId="0" applyFont="1" applyFill="1" applyAlignment="1" applyProtection="1">
      <alignment horizontal="center" vertical="center" wrapText="1"/>
    </xf>
    <xf numFmtId="0" fontId="0" fillId="11" borderId="0" xfId="0" applyFont="1" applyFill="1" applyAlignment="1" applyProtection="1">
      <alignment horizontal="center" vertical="center"/>
    </xf>
    <xf numFmtId="2" fontId="13" fillId="12" borderId="35" xfId="1" applyNumberFormat="1" applyFont="1" applyFill="1" applyBorder="1" applyAlignment="1" applyProtection="1">
      <alignment horizontal="right" vertical="center"/>
    </xf>
    <xf numFmtId="2" fontId="13" fillId="12" borderId="32" xfId="1" applyNumberFormat="1" applyFont="1" applyFill="1" applyBorder="1" applyAlignment="1" applyProtection="1">
      <alignment horizontal="right" vertical="center"/>
    </xf>
    <xf numFmtId="2" fontId="13" fillId="12" borderId="29" xfId="1" applyNumberFormat="1" applyFont="1" applyFill="1" applyBorder="1" applyAlignment="1" applyProtection="1">
      <alignment horizontal="right" vertical="center"/>
    </xf>
    <xf numFmtId="0" fontId="13" fillId="12" borderId="30" xfId="1" applyFont="1" applyFill="1" applyBorder="1" applyAlignment="1" applyProtection="1">
      <alignment horizontal="center" wrapText="1"/>
    </xf>
    <xf numFmtId="0" fontId="13" fillId="12" borderId="31" xfId="1" applyFont="1" applyFill="1" applyBorder="1" applyAlignment="1" applyProtection="1">
      <alignment horizontal="center" wrapText="1"/>
    </xf>
    <xf numFmtId="0" fontId="0" fillId="11" borderId="0" xfId="0" applyFill="1" applyAlignment="1" applyProtection="1">
      <alignment horizontal="left"/>
    </xf>
    <xf numFmtId="0" fontId="7" fillId="9" borderId="0" xfId="0" applyFont="1" applyFill="1" applyAlignment="1" applyProtection="1">
      <alignment horizontal="left" wrapText="1"/>
    </xf>
    <xf numFmtId="0" fontId="8" fillId="9" borderId="0" xfId="0" applyFont="1" applyFill="1" applyAlignment="1" applyProtection="1">
      <alignment horizontal="center" vertical="center" wrapText="1"/>
    </xf>
    <xf numFmtId="0" fontId="0" fillId="9" borderId="0" xfId="0" applyFont="1" applyFill="1" applyAlignment="1" applyProtection="1">
      <alignment horizontal="center" vertical="center"/>
    </xf>
    <xf numFmtId="2" fontId="13" fillId="10" borderId="35" xfId="1" applyNumberFormat="1" applyFont="1" applyFill="1" applyBorder="1" applyAlignment="1" applyProtection="1">
      <alignment horizontal="right" vertical="center"/>
    </xf>
    <xf numFmtId="2" fontId="13" fillId="10" borderId="32" xfId="1" applyNumberFormat="1" applyFont="1" applyFill="1" applyBorder="1" applyAlignment="1" applyProtection="1">
      <alignment horizontal="right" vertical="center"/>
    </xf>
    <xf numFmtId="2" fontId="13" fillId="10" borderId="29" xfId="1" applyNumberFormat="1" applyFont="1" applyFill="1" applyBorder="1" applyAlignment="1" applyProtection="1">
      <alignment horizontal="right" vertical="center"/>
    </xf>
    <xf numFmtId="0" fontId="13" fillId="10" borderId="30" xfId="1" applyFont="1" applyFill="1" applyBorder="1" applyAlignment="1" applyProtection="1">
      <alignment horizontal="center" wrapText="1"/>
    </xf>
    <xf numFmtId="0" fontId="13" fillId="10" borderId="31" xfId="1" applyFont="1" applyFill="1" applyBorder="1" applyAlignment="1" applyProtection="1">
      <alignment horizontal="center" wrapText="1"/>
    </xf>
  </cellXfs>
  <cellStyles count="8">
    <cellStyle name="20% - Accent1" xfId="4" builtinId="30"/>
    <cellStyle name="Comma" xfId="6" builtinId="3"/>
    <cellStyle name="Normal" xfId="0" builtinId="0"/>
    <cellStyle name="Normal 2" xfId="1" xr:uid="{00000000-0005-0000-0000-000003000000}"/>
    <cellStyle name="Normal 4" xfId="7" xr:uid="{00000000-0005-0000-0000-000004000000}"/>
    <cellStyle name="Percent" xfId="2" builtinId="5"/>
    <cellStyle name="Title" xfId="3" builtinId="15"/>
    <cellStyle name="Total" xfId="5" builtinId="2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3209925</xdr:colOff>
      <xdr:row>2</xdr:row>
      <xdr:rowOff>66675</xdr:rowOff>
    </xdr:from>
    <xdr:to>
      <xdr:col>2</xdr:col>
      <xdr:colOff>190500</xdr:colOff>
      <xdr:row>2</xdr:row>
      <xdr:rowOff>257175</xdr:rowOff>
    </xdr:to>
    <xdr:pic>
      <xdr:nvPicPr>
        <xdr:cNvPr id="1025" name="Picture 1">
          <a:extLst>
            <a:ext uri="{FF2B5EF4-FFF2-40B4-BE49-F238E27FC236}">
              <a16:creationId xmlns:a16="http://schemas.microsoft.com/office/drawing/2014/main" id="{00000000-0008-0000-06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14725" y="428625"/>
          <a:ext cx="285750" cy="1905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M18"/>
  <sheetViews>
    <sheetView showGridLines="0" workbookViewId="0">
      <selection activeCell="B10" sqref="B10"/>
    </sheetView>
  </sheetViews>
  <sheetFormatPr defaultRowHeight="14.4" x14ac:dyDescent="0.3"/>
  <cols>
    <col min="1" max="1" width="17.33203125" style="191" customWidth="1"/>
    <col min="2" max="2" width="34.6640625" bestFit="1" customWidth="1"/>
  </cols>
  <sheetData>
    <row r="1" spans="1:13" ht="15" customHeight="1" x14ac:dyDescent="0.3">
      <c r="A1" s="471"/>
      <c r="B1" s="470"/>
      <c r="C1" s="491" t="s">
        <v>434</v>
      </c>
      <c r="D1" s="491"/>
      <c r="E1" s="491"/>
      <c r="F1" s="491"/>
      <c r="G1" s="491"/>
      <c r="H1" s="491"/>
      <c r="I1" s="470"/>
      <c r="J1" s="470"/>
      <c r="K1" s="470"/>
      <c r="L1" s="470"/>
      <c r="M1" s="470"/>
    </row>
    <row r="2" spans="1:13" ht="15" customHeight="1" thickBot="1" x14ac:dyDescent="0.35">
      <c r="A2" s="482"/>
      <c r="B2" s="483"/>
      <c r="C2" s="492"/>
      <c r="D2" s="492"/>
      <c r="E2" s="492"/>
      <c r="F2" s="492"/>
      <c r="G2" s="492"/>
      <c r="H2" s="492"/>
      <c r="I2" s="483"/>
      <c r="J2" s="483"/>
      <c r="K2" s="483"/>
      <c r="L2" s="483"/>
      <c r="M2" s="483"/>
    </row>
    <row r="3" spans="1:13" ht="22.8" x14ac:dyDescent="0.3">
      <c r="E3" s="472"/>
      <c r="F3" s="472"/>
      <c r="G3" s="472"/>
      <c r="H3" s="472"/>
    </row>
    <row r="4" spans="1:13" x14ac:dyDescent="0.3">
      <c r="A4" s="481" t="s">
        <v>402</v>
      </c>
      <c r="B4" s="481" t="s">
        <v>403</v>
      </c>
      <c r="C4" s="496" t="s">
        <v>405</v>
      </c>
      <c r="D4" s="496"/>
      <c r="E4" s="496"/>
      <c r="F4" s="496"/>
      <c r="G4" s="496"/>
      <c r="H4" s="496"/>
      <c r="I4" s="496"/>
      <c r="J4" s="496"/>
      <c r="K4" s="496"/>
      <c r="L4" s="496"/>
      <c r="M4" s="496"/>
    </row>
    <row r="5" spans="1:13" x14ac:dyDescent="0.3">
      <c r="A5" s="474" t="s">
        <v>404</v>
      </c>
      <c r="B5" s="474" t="s">
        <v>406</v>
      </c>
      <c r="C5" s="493" t="s">
        <v>435</v>
      </c>
      <c r="D5" s="494"/>
      <c r="E5" s="494"/>
      <c r="F5" s="494"/>
      <c r="G5" s="494"/>
      <c r="H5" s="494"/>
      <c r="I5" s="494"/>
      <c r="J5" s="494"/>
      <c r="K5" s="494"/>
      <c r="L5" s="494"/>
      <c r="M5" s="495"/>
    </row>
    <row r="6" spans="1:13" ht="71.25" customHeight="1" x14ac:dyDescent="0.3">
      <c r="A6" s="474" t="s">
        <v>404</v>
      </c>
      <c r="B6" s="474" t="s">
        <v>407</v>
      </c>
      <c r="C6" s="487" t="s">
        <v>426</v>
      </c>
      <c r="D6" s="494"/>
      <c r="E6" s="494"/>
      <c r="F6" s="494"/>
      <c r="G6" s="494"/>
      <c r="H6" s="494"/>
      <c r="I6" s="494"/>
      <c r="J6" s="494"/>
      <c r="K6" s="494"/>
      <c r="L6" s="494"/>
      <c r="M6" s="495"/>
    </row>
    <row r="7" spans="1:13" ht="79.5" customHeight="1" x14ac:dyDescent="0.3">
      <c r="A7" s="474" t="s">
        <v>404</v>
      </c>
      <c r="B7" s="474" t="s">
        <v>408</v>
      </c>
      <c r="C7" s="487" t="s">
        <v>427</v>
      </c>
      <c r="D7" s="488"/>
      <c r="E7" s="488"/>
      <c r="F7" s="488"/>
      <c r="G7" s="488"/>
      <c r="H7" s="488"/>
      <c r="I7" s="488"/>
      <c r="J7" s="488"/>
      <c r="K7" s="488"/>
      <c r="L7" s="488"/>
      <c r="M7" s="489"/>
    </row>
    <row r="8" spans="1:13" x14ac:dyDescent="0.3">
      <c r="A8" s="474" t="s">
        <v>404</v>
      </c>
      <c r="B8" s="474" t="s">
        <v>409</v>
      </c>
      <c r="C8" s="493" t="s">
        <v>411</v>
      </c>
      <c r="D8" s="494"/>
      <c r="E8" s="494"/>
      <c r="F8" s="494"/>
      <c r="G8" s="494"/>
      <c r="H8" s="494"/>
      <c r="I8" s="494"/>
      <c r="J8" s="494"/>
      <c r="K8" s="494"/>
      <c r="L8" s="494"/>
      <c r="M8" s="495"/>
    </row>
    <row r="9" spans="1:13" x14ac:dyDescent="0.3">
      <c r="A9" s="474" t="s">
        <v>404</v>
      </c>
      <c r="B9" s="474" t="s">
        <v>410</v>
      </c>
      <c r="C9" s="493" t="s">
        <v>412</v>
      </c>
      <c r="D9" s="494"/>
      <c r="E9" s="494"/>
      <c r="F9" s="494"/>
      <c r="G9" s="494"/>
      <c r="H9" s="494"/>
      <c r="I9" s="494"/>
      <c r="J9" s="494"/>
      <c r="K9" s="494"/>
      <c r="L9" s="494"/>
      <c r="M9" s="495"/>
    </row>
    <row r="10" spans="1:13" ht="39.75" customHeight="1" x14ac:dyDescent="0.3">
      <c r="A10" s="474" t="s">
        <v>404</v>
      </c>
      <c r="B10" s="474" t="s">
        <v>413</v>
      </c>
      <c r="C10" s="487" t="s">
        <v>428</v>
      </c>
      <c r="D10" s="488"/>
      <c r="E10" s="488"/>
      <c r="F10" s="488"/>
      <c r="G10" s="488"/>
      <c r="H10" s="488"/>
      <c r="I10" s="488"/>
      <c r="J10" s="488"/>
      <c r="K10" s="488"/>
      <c r="L10" s="488"/>
      <c r="M10" s="489"/>
    </row>
    <row r="11" spans="1:13" ht="59.25" customHeight="1" x14ac:dyDescent="0.3">
      <c r="A11" s="474" t="s">
        <v>404</v>
      </c>
      <c r="B11" s="474" t="s">
        <v>414</v>
      </c>
      <c r="C11" s="487" t="s">
        <v>415</v>
      </c>
      <c r="D11" s="488"/>
      <c r="E11" s="488"/>
      <c r="F11" s="488"/>
      <c r="G11" s="488"/>
      <c r="H11" s="488"/>
      <c r="I11" s="488"/>
      <c r="J11" s="488"/>
      <c r="K11" s="488"/>
      <c r="L11" s="488"/>
      <c r="M11" s="489"/>
    </row>
    <row r="12" spans="1:13" x14ac:dyDescent="0.3">
      <c r="A12" s="474" t="s">
        <v>404</v>
      </c>
      <c r="B12" s="474" t="s">
        <v>416</v>
      </c>
      <c r="C12" s="493" t="s">
        <v>429</v>
      </c>
      <c r="D12" s="494"/>
      <c r="E12" s="494"/>
      <c r="F12" s="494"/>
      <c r="G12" s="494"/>
      <c r="H12" s="494"/>
      <c r="I12" s="494"/>
      <c r="J12" s="494"/>
      <c r="K12" s="494"/>
      <c r="L12" s="494"/>
      <c r="M12" s="495"/>
    </row>
    <row r="13" spans="1:13" ht="28.8" x14ac:dyDescent="0.3">
      <c r="A13" s="474" t="s">
        <v>417</v>
      </c>
      <c r="B13" s="478" t="s">
        <v>222</v>
      </c>
      <c r="C13" s="486" t="s">
        <v>430</v>
      </c>
      <c r="D13" s="486"/>
      <c r="E13" s="486"/>
      <c r="F13" s="486"/>
      <c r="G13" s="486"/>
      <c r="H13" s="486"/>
      <c r="I13" s="486"/>
      <c r="J13" s="486"/>
      <c r="K13" s="486"/>
      <c r="L13" s="486"/>
      <c r="M13" s="486"/>
    </row>
    <row r="14" spans="1:13" x14ac:dyDescent="0.3">
      <c r="A14" s="474" t="s">
        <v>417</v>
      </c>
      <c r="B14" s="479" t="s">
        <v>223</v>
      </c>
      <c r="C14" s="486" t="s">
        <v>431</v>
      </c>
      <c r="D14" s="486"/>
      <c r="E14" s="486"/>
      <c r="F14" s="486"/>
      <c r="G14" s="486"/>
      <c r="H14" s="486"/>
      <c r="I14" s="486"/>
      <c r="J14" s="486"/>
      <c r="K14" s="486"/>
      <c r="L14" s="486"/>
      <c r="M14" s="486"/>
    </row>
    <row r="15" spans="1:13" x14ac:dyDescent="0.3">
      <c r="A15" s="474" t="s">
        <v>417</v>
      </c>
      <c r="B15" s="479" t="s">
        <v>224</v>
      </c>
      <c r="C15" s="486" t="s">
        <v>431</v>
      </c>
      <c r="D15" s="486"/>
      <c r="E15" s="486"/>
      <c r="F15" s="486"/>
      <c r="G15" s="486"/>
      <c r="H15" s="486"/>
      <c r="I15" s="486"/>
      <c r="J15" s="486"/>
      <c r="K15" s="486"/>
      <c r="L15" s="486"/>
      <c r="M15" s="486"/>
    </row>
    <row r="16" spans="1:13" x14ac:dyDescent="0.3">
      <c r="A16" s="474" t="s">
        <v>418</v>
      </c>
      <c r="B16" s="479" t="s">
        <v>419</v>
      </c>
      <c r="C16" s="486" t="s">
        <v>420</v>
      </c>
      <c r="D16" s="486"/>
      <c r="E16" s="486"/>
      <c r="F16" s="486"/>
      <c r="G16" s="486"/>
      <c r="H16" s="486"/>
      <c r="I16" s="486"/>
      <c r="J16" s="486"/>
      <c r="K16" s="486"/>
      <c r="L16" s="486"/>
      <c r="M16" s="486"/>
    </row>
    <row r="17" spans="1:13" ht="51" customHeight="1" x14ac:dyDescent="0.3">
      <c r="A17" s="474" t="s">
        <v>421</v>
      </c>
      <c r="B17" s="480" t="s">
        <v>433</v>
      </c>
      <c r="C17" s="487" t="s">
        <v>422</v>
      </c>
      <c r="D17" s="488"/>
      <c r="E17" s="488"/>
      <c r="F17" s="488"/>
      <c r="G17" s="488"/>
      <c r="H17" s="488"/>
      <c r="I17" s="488"/>
      <c r="J17" s="488"/>
      <c r="K17" s="488"/>
      <c r="L17" s="488"/>
      <c r="M17" s="489"/>
    </row>
    <row r="18" spans="1:13" x14ac:dyDescent="0.3">
      <c r="A18" s="473" t="s">
        <v>423</v>
      </c>
      <c r="B18" s="479" t="s">
        <v>424</v>
      </c>
      <c r="C18" s="490" t="s">
        <v>425</v>
      </c>
      <c r="D18" s="490"/>
      <c r="E18" s="490"/>
      <c r="F18" s="490"/>
      <c r="G18" s="490"/>
      <c r="H18" s="490"/>
      <c r="I18" s="490"/>
      <c r="J18" s="490"/>
      <c r="K18" s="490"/>
      <c r="L18" s="490"/>
      <c r="M18" s="490"/>
    </row>
  </sheetData>
  <sheetProtection password="C445" sheet="1" objects="1" scenarios="1"/>
  <mergeCells count="16">
    <mergeCell ref="C11:M11"/>
    <mergeCell ref="C12:M12"/>
    <mergeCell ref="C13:M13"/>
    <mergeCell ref="C5:M5"/>
    <mergeCell ref="C4:M4"/>
    <mergeCell ref="C6:M6"/>
    <mergeCell ref="C1:H2"/>
    <mergeCell ref="C7:M7"/>
    <mergeCell ref="C8:M8"/>
    <mergeCell ref="C9:M9"/>
    <mergeCell ref="C10:M10"/>
    <mergeCell ref="C14:M14"/>
    <mergeCell ref="C15:M15"/>
    <mergeCell ref="C16:M16"/>
    <mergeCell ref="C17:M17"/>
    <mergeCell ref="C18:M18"/>
  </mergeCells>
  <pageMargins left="0.34" right="0.18" top="0.75" bottom="0.75" header="0.3" footer="0.3"/>
  <pageSetup scale="87"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A1:W20"/>
  <sheetViews>
    <sheetView showGridLines="0" tabSelected="1" workbookViewId="0">
      <selection activeCell="E9" sqref="E9:H9"/>
    </sheetView>
  </sheetViews>
  <sheetFormatPr defaultColWidth="9.109375" defaultRowHeight="15.6" x14ac:dyDescent="0.3"/>
  <cols>
    <col min="1" max="1" width="3" style="98" customWidth="1"/>
    <col min="2" max="2" width="9.109375" style="98"/>
    <col min="3" max="3" width="17.88671875" style="98" customWidth="1"/>
    <col min="4" max="4" width="16" style="98" customWidth="1"/>
    <col min="5" max="11" width="9.109375" style="98"/>
    <col min="12" max="12" width="9.109375" style="98" customWidth="1"/>
    <col min="13" max="17" width="9.109375" style="98"/>
    <col min="18" max="18" width="3" style="98" customWidth="1"/>
    <col min="19" max="19" width="2.109375" style="98" customWidth="1"/>
    <col min="20" max="20" width="9.109375" style="289" customWidth="1"/>
    <col min="21" max="22" width="9.109375" style="182" customWidth="1"/>
    <col min="23" max="23" width="9.109375" style="182"/>
    <col min="24" max="16384" width="9.109375" style="98"/>
  </cols>
  <sheetData>
    <row r="1" spans="1:20" x14ac:dyDescent="0.3">
      <c r="A1" s="288"/>
      <c r="B1" s="288"/>
      <c r="C1" s="288"/>
      <c r="D1" s="288"/>
      <c r="E1" s="288"/>
      <c r="F1" s="288"/>
      <c r="G1" s="288"/>
      <c r="H1" s="288"/>
      <c r="I1" s="288"/>
      <c r="J1" s="288"/>
      <c r="K1" s="288"/>
      <c r="L1" s="288"/>
      <c r="M1" s="288"/>
      <c r="N1" s="288"/>
      <c r="O1" s="288"/>
      <c r="P1" s="288"/>
      <c r="Q1" s="288"/>
      <c r="R1" s="288"/>
    </row>
    <row r="2" spans="1:20" ht="21" x14ac:dyDescent="0.4">
      <c r="A2" s="288"/>
      <c r="F2" s="290" t="s">
        <v>450</v>
      </c>
      <c r="R2" s="288"/>
    </row>
    <row r="3" spans="1:20" ht="21" x14ac:dyDescent="0.4">
      <c r="A3" s="288"/>
      <c r="G3" s="290"/>
      <c r="R3" s="288"/>
      <c r="T3" s="289" t="s">
        <v>132</v>
      </c>
    </row>
    <row r="4" spans="1:20" x14ac:dyDescent="0.3">
      <c r="A4" s="288"/>
      <c r="R4" s="288"/>
      <c r="T4" s="289" t="s">
        <v>133</v>
      </c>
    </row>
    <row r="5" spans="1:20" ht="16.2" thickBot="1" x14ac:dyDescent="0.35">
      <c r="A5" s="288"/>
      <c r="R5" s="288"/>
      <c r="T5" s="289" t="s">
        <v>134</v>
      </c>
    </row>
    <row r="6" spans="1:20" ht="16.8" thickTop="1" thickBot="1" x14ac:dyDescent="0.35">
      <c r="A6" s="288"/>
      <c r="C6" s="291"/>
      <c r="D6" s="292"/>
      <c r="E6" s="292"/>
      <c r="F6" s="292"/>
      <c r="G6" s="292"/>
      <c r="H6" s="292"/>
      <c r="I6" s="292"/>
      <c r="J6" s="292"/>
      <c r="K6" s="292"/>
      <c r="L6" s="292"/>
      <c r="M6" s="292"/>
      <c r="N6" s="292"/>
      <c r="O6" s="292"/>
      <c r="P6" s="293"/>
      <c r="R6" s="288"/>
      <c r="T6" s="289" t="s">
        <v>135</v>
      </c>
    </row>
    <row r="7" spans="1:20" ht="16.2" thickBot="1" x14ac:dyDescent="0.35">
      <c r="A7" s="288"/>
      <c r="C7" s="508" t="s">
        <v>131</v>
      </c>
      <c r="D7" s="509"/>
      <c r="E7" s="505"/>
      <c r="F7" s="506"/>
      <c r="G7" s="506"/>
      <c r="H7" s="506"/>
      <c r="I7" s="506"/>
      <c r="J7" s="506"/>
      <c r="K7" s="506"/>
      <c r="L7" s="506"/>
      <c r="M7" s="506"/>
      <c r="N7" s="506"/>
      <c r="O7" s="507"/>
      <c r="P7" s="294"/>
      <c r="R7" s="288"/>
      <c r="T7" s="289" t="s">
        <v>136</v>
      </c>
    </row>
    <row r="8" spans="1:20" ht="16.2" thickBot="1" x14ac:dyDescent="0.35">
      <c r="A8" s="288"/>
      <c r="C8" s="295"/>
      <c r="D8" s="296"/>
      <c r="E8" s="296"/>
      <c r="F8" s="296"/>
      <c r="G8" s="296"/>
      <c r="H8" s="296"/>
      <c r="I8" s="296"/>
      <c r="J8" s="296"/>
      <c r="K8" s="296"/>
      <c r="L8" s="296"/>
      <c r="M8" s="296"/>
      <c r="N8" s="296"/>
      <c r="O8" s="296"/>
      <c r="P8" s="294"/>
      <c r="R8" s="288"/>
    </row>
    <row r="9" spans="1:20" ht="31.5" customHeight="1" thickBot="1" x14ac:dyDescent="0.35">
      <c r="A9" s="288"/>
      <c r="C9" s="508" t="s">
        <v>272</v>
      </c>
      <c r="D9" s="509"/>
      <c r="E9" s="505" t="s">
        <v>329</v>
      </c>
      <c r="F9" s="506"/>
      <c r="G9" s="506"/>
      <c r="H9" s="507"/>
      <c r="I9" s="297"/>
      <c r="J9" s="510" t="str">
        <f>"FINANCIAL PROJECTION FOR PREVIOUS F.Y. "&amp;G11</f>
        <v xml:space="preserve">FINANCIAL PROJECTION FOR PREVIOUS F.Y. </v>
      </c>
      <c r="K9" s="510"/>
      <c r="L9" s="510"/>
      <c r="M9" s="511"/>
      <c r="N9" s="512"/>
      <c r="O9" s="513"/>
      <c r="P9" s="294"/>
      <c r="R9" s="288"/>
      <c r="T9" s="289" t="s">
        <v>350</v>
      </c>
    </row>
    <row r="10" spans="1:20" ht="16.2" thickBot="1" x14ac:dyDescent="0.35">
      <c r="A10" s="288"/>
      <c r="C10" s="298"/>
      <c r="D10" s="297"/>
      <c r="E10" s="297"/>
      <c r="F10" s="297"/>
      <c r="G10" s="297"/>
      <c r="H10" s="297"/>
      <c r="I10" s="297"/>
      <c r="J10" s="297"/>
      <c r="K10" s="297"/>
      <c r="L10" s="297"/>
      <c r="M10" s="297"/>
      <c r="N10" s="297"/>
      <c r="O10" s="297"/>
      <c r="P10" s="294"/>
      <c r="R10" s="288"/>
      <c r="T10" s="289" t="s">
        <v>349</v>
      </c>
    </row>
    <row r="11" spans="1:20" ht="34.5" customHeight="1" thickBot="1" x14ac:dyDescent="0.35">
      <c r="A11" s="288"/>
      <c r="C11" s="514" t="s">
        <v>138</v>
      </c>
      <c r="D11" s="511"/>
      <c r="E11" s="190"/>
      <c r="F11" s="299" t="s">
        <v>137</v>
      </c>
      <c r="G11" s="190"/>
      <c r="H11" s="297"/>
      <c r="I11" s="300">
        <f>G11-E11+1</f>
        <v>1</v>
      </c>
      <c r="J11" s="510" t="s">
        <v>351</v>
      </c>
      <c r="K11" s="510"/>
      <c r="L11" s="510"/>
      <c r="M11" s="510"/>
      <c r="N11" s="511"/>
      <c r="O11" s="190"/>
      <c r="P11" s="294"/>
      <c r="R11" s="288"/>
    </row>
    <row r="12" spans="1:20" ht="16.2" thickBot="1" x14ac:dyDescent="0.35">
      <c r="A12" s="288"/>
      <c r="C12" s="298"/>
      <c r="D12" s="297"/>
      <c r="E12" s="297"/>
      <c r="F12" s="297"/>
      <c r="G12" s="297"/>
      <c r="H12" s="297"/>
      <c r="I12" s="297"/>
      <c r="J12" s="297"/>
      <c r="K12" s="297"/>
      <c r="L12" s="297"/>
      <c r="M12" s="297"/>
      <c r="N12" s="297"/>
      <c r="O12" s="297"/>
      <c r="P12" s="294"/>
      <c r="R12" s="288"/>
      <c r="T12" s="289" t="s">
        <v>329</v>
      </c>
    </row>
    <row r="13" spans="1:20" ht="16.2" thickBot="1" x14ac:dyDescent="0.35">
      <c r="A13" s="288"/>
      <c r="C13" s="508" t="s">
        <v>139</v>
      </c>
      <c r="D13" s="509"/>
      <c r="E13" s="505"/>
      <c r="F13" s="506"/>
      <c r="G13" s="506"/>
      <c r="H13" s="507"/>
      <c r="I13" s="297"/>
      <c r="J13" s="301" t="s">
        <v>335</v>
      </c>
      <c r="K13" s="500" t="s">
        <v>333</v>
      </c>
      <c r="L13" s="501"/>
      <c r="M13" s="497"/>
      <c r="N13" s="498"/>
      <c r="O13" s="499"/>
      <c r="P13" s="294"/>
      <c r="R13" s="288"/>
      <c r="T13" s="289" t="s">
        <v>330</v>
      </c>
    </row>
    <row r="14" spans="1:20" ht="16.2" thickBot="1" x14ac:dyDescent="0.35">
      <c r="A14" s="288"/>
      <c r="C14" s="298"/>
      <c r="D14" s="297"/>
      <c r="E14" s="297"/>
      <c r="F14" s="297"/>
      <c r="G14" s="297"/>
      <c r="H14" s="297"/>
      <c r="I14" s="297"/>
      <c r="J14" s="297"/>
      <c r="K14" s="297"/>
      <c r="L14" s="297"/>
      <c r="M14" s="297"/>
      <c r="N14" s="297"/>
      <c r="O14" s="297"/>
      <c r="P14" s="294"/>
      <c r="R14" s="288"/>
      <c r="T14" s="289" t="s">
        <v>331</v>
      </c>
    </row>
    <row r="15" spans="1:20" ht="16.2" thickBot="1" x14ac:dyDescent="0.35">
      <c r="A15" s="288"/>
      <c r="C15" s="508" t="s">
        <v>140</v>
      </c>
      <c r="D15" s="509"/>
      <c r="E15" s="505"/>
      <c r="F15" s="506"/>
      <c r="G15" s="506"/>
      <c r="H15" s="507"/>
      <c r="I15" s="297"/>
      <c r="J15" s="301" t="s">
        <v>335</v>
      </c>
      <c r="K15" s="500" t="s">
        <v>333</v>
      </c>
      <c r="L15" s="501"/>
      <c r="M15" s="502"/>
      <c r="N15" s="503"/>
      <c r="O15" s="504"/>
      <c r="P15" s="294"/>
      <c r="R15" s="288"/>
    </row>
    <row r="16" spans="1:20" x14ac:dyDescent="0.3">
      <c r="A16" s="288"/>
      <c r="C16" s="298"/>
      <c r="D16" s="297"/>
      <c r="E16" s="297"/>
      <c r="F16" s="297"/>
      <c r="G16" s="297"/>
      <c r="H16" s="297"/>
      <c r="I16" s="297"/>
      <c r="J16" s="297"/>
      <c r="K16" s="297"/>
      <c r="L16" s="297"/>
      <c r="M16" s="297"/>
      <c r="N16" s="297"/>
      <c r="O16" s="297"/>
      <c r="P16" s="294"/>
      <c r="R16" s="288"/>
    </row>
    <row r="17" spans="1:20" ht="16.2" thickBot="1" x14ac:dyDescent="0.35">
      <c r="A17" s="288"/>
      <c r="C17" s="302"/>
      <c r="D17" s="303"/>
      <c r="E17" s="303"/>
      <c r="F17" s="303"/>
      <c r="G17" s="303"/>
      <c r="H17" s="303"/>
      <c r="I17" s="303"/>
      <c r="J17" s="303"/>
      <c r="K17" s="303"/>
      <c r="L17" s="303"/>
      <c r="M17" s="303"/>
      <c r="N17" s="303"/>
      <c r="O17" s="303"/>
      <c r="P17" s="304"/>
      <c r="R17" s="288"/>
      <c r="T17" s="289" t="s">
        <v>333</v>
      </c>
    </row>
    <row r="18" spans="1:20" ht="16.2" thickTop="1" x14ac:dyDescent="0.3">
      <c r="A18" s="288"/>
      <c r="M18" s="305"/>
      <c r="R18" s="288"/>
      <c r="T18" s="289" t="s">
        <v>334</v>
      </c>
    </row>
    <row r="19" spans="1:20" x14ac:dyDescent="0.3">
      <c r="A19" s="288"/>
      <c r="R19" s="288"/>
    </row>
    <row r="20" spans="1:20" x14ac:dyDescent="0.3">
      <c r="A20" s="288"/>
      <c r="B20" s="288"/>
      <c r="C20" s="288"/>
      <c r="D20" s="288"/>
      <c r="E20" s="288"/>
      <c r="F20" s="288"/>
      <c r="G20" s="288"/>
      <c r="H20" s="288"/>
      <c r="I20" s="288"/>
      <c r="J20" s="288"/>
      <c r="K20" s="288"/>
      <c r="L20" s="288"/>
      <c r="M20" s="288"/>
      <c r="N20" s="288"/>
      <c r="O20" s="288"/>
      <c r="P20" s="288"/>
      <c r="Q20" s="288"/>
      <c r="R20" s="288"/>
    </row>
  </sheetData>
  <sheetProtection algorithmName="SHA-512" hashValue="IL3XHgjr49pQTq2Lv86E7RRp4TZtMNfHkxGyveseUAGmD1sTBY4AnkzxmV6VPL7A6LDNB45X0dhKSRwP39NvlQ==" saltValue="jss0OUjtB2TO2W0tt5aXow==" spinCount="100000" sheet="1" objects="1" scenarios="1" selectLockedCells="1"/>
  <mergeCells count="16">
    <mergeCell ref="M13:O13"/>
    <mergeCell ref="K15:L15"/>
    <mergeCell ref="M15:O15"/>
    <mergeCell ref="E7:O7"/>
    <mergeCell ref="C7:D7"/>
    <mergeCell ref="C9:D9"/>
    <mergeCell ref="E9:H9"/>
    <mergeCell ref="J11:N11"/>
    <mergeCell ref="J9:M9"/>
    <mergeCell ref="N9:O9"/>
    <mergeCell ref="C11:D11"/>
    <mergeCell ref="C13:D13"/>
    <mergeCell ref="C15:D15"/>
    <mergeCell ref="E13:H13"/>
    <mergeCell ref="E15:H15"/>
    <mergeCell ref="K13:L13"/>
  </mergeCells>
  <dataValidations count="6">
    <dataValidation type="custom" operator="greaterThan" allowBlank="1" showInputMessage="1" showErrorMessage="1" error="Pls enter four digit year only and should be greater than start year." sqref="G11" xr:uid="{00000000-0002-0000-0100-000000000000}">
      <formula1>AND(LEN(G11)=4,ISNUMBER(G11),OR(G11=E11+1,G11=E11+2,G11=E11+3))</formula1>
    </dataValidation>
    <dataValidation type="whole" operator="equal" allowBlank="1" showInputMessage="1" showErrorMessage="1" error="Projection year should be last actual year plus one year." sqref="O11" xr:uid="{00000000-0002-0000-0100-000001000000}">
      <formula1>G11+1</formula1>
    </dataValidation>
    <dataValidation type="list" operator="greaterThan" allowBlank="1" showInputMessage="1" showErrorMessage="1" error="Projection year should be greater than last actual year." sqref="N9" xr:uid="{00000000-0002-0000-0100-000002000000}">
      <formula1>$T$9:$T$10</formula1>
    </dataValidation>
    <dataValidation type="custom" operator="greaterThan" allowBlank="1" showInputMessage="1" showErrorMessage="1" error="Pls enter four digit year. Financial year prior to 2014 are not allowed." sqref="E11" xr:uid="{00000000-0002-0000-0100-000003000000}">
      <formula1>AND(LEN(E11)=4,ISNUMBER(E11),E11&gt;2013)</formula1>
    </dataValidation>
    <dataValidation type="list" allowBlank="1" showInputMessage="1" showErrorMessage="1" sqref="E9:H9" xr:uid="{00000000-0002-0000-0100-000004000000}">
      <formula1>$T$12:$T$14</formula1>
    </dataValidation>
    <dataValidation type="list" allowBlank="1" showInputMessage="1" showErrorMessage="1" sqref="K15:L15 K13" xr:uid="{00000000-0002-0000-0100-000005000000}">
      <formula1>$T$17:$T$18</formula1>
    </dataValidation>
  </dataValidations>
  <pageMargins left="0.28000000000000003" right="0.43" top="0.57999999999999996" bottom="3.14" header="0.3" footer="2.93"/>
  <pageSetup scale="78"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B91"/>
  <sheetViews>
    <sheetView showGridLines="0" topLeftCell="A64" workbookViewId="0">
      <selection activeCell="F11" sqref="F11"/>
    </sheetView>
  </sheetViews>
  <sheetFormatPr defaultColWidth="9.109375" defaultRowHeight="14.4" x14ac:dyDescent="0.3"/>
  <cols>
    <col min="1" max="1" width="55.44140625" style="98" bestFit="1" customWidth="1"/>
    <col min="2" max="6" width="9" style="99" customWidth="1"/>
    <col min="7" max="7" width="1" style="98" customWidth="1"/>
    <col min="8" max="12" width="7.88671875" style="98" customWidth="1"/>
    <col min="13" max="13" width="1.33203125" style="98" customWidth="1"/>
    <col min="14" max="17" width="9.109375" style="98" customWidth="1"/>
    <col min="18" max="18" width="8.109375" style="308" customWidth="1"/>
    <col min="19" max="19" width="5.6640625" style="308" customWidth="1"/>
    <col min="20" max="22" width="8.6640625" style="308" customWidth="1"/>
    <col min="23" max="23" width="10.33203125" style="308" customWidth="1"/>
    <col min="24" max="24" width="9.109375" style="475" customWidth="1"/>
    <col min="25" max="26" width="9.109375" style="308" customWidth="1"/>
    <col min="27" max="28" width="9.109375" style="308"/>
    <col min="29" max="16384" width="9.109375" style="98"/>
  </cols>
  <sheetData>
    <row r="1" spans="1:26" ht="23.4" x14ac:dyDescent="0.45">
      <c r="A1" s="306" t="str">
        <f>IF('Cover page'!E7="","",'Cover page'!E7)&amp;" -"&amp;" "&amp;"BALANCE SHEET"</f>
        <v xml:space="preserve"> - BALANCE SHEET</v>
      </c>
      <c r="B1" s="307"/>
      <c r="C1" s="307"/>
      <c r="D1" s="307"/>
      <c r="E1" s="307"/>
      <c r="F1" s="307"/>
      <c r="G1" s="307"/>
      <c r="H1" s="307"/>
      <c r="I1" s="307"/>
      <c r="J1" s="307"/>
      <c r="K1" s="307"/>
      <c r="L1" s="307"/>
      <c r="M1" s="307"/>
      <c r="N1" s="307"/>
      <c r="O1" s="307"/>
      <c r="P1" s="307"/>
      <c r="Q1" s="307"/>
    </row>
    <row r="2" spans="1:26" x14ac:dyDescent="0.3">
      <c r="A2" s="309"/>
      <c r="B2" s="310"/>
      <c r="C2" s="310"/>
      <c r="D2" s="310"/>
      <c r="E2" s="310"/>
      <c r="F2" s="310"/>
      <c r="G2" s="311"/>
      <c r="H2" s="311"/>
      <c r="I2" s="311"/>
      <c r="U2" s="308" t="s">
        <v>172</v>
      </c>
      <c r="V2" s="308">
        <v>368</v>
      </c>
      <c r="Y2" s="308" t="s">
        <v>132</v>
      </c>
      <c r="Z2" s="308" t="s">
        <v>229</v>
      </c>
    </row>
    <row r="3" spans="1:26" ht="18" x14ac:dyDescent="0.35">
      <c r="A3" s="312"/>
      <c r="B3" s="313"/>
      <c r="C3" s="313"/>
      <c r="D3" s="313"/>
      <c r="E3" s="517" t="s">
        <v>221</v>
      </c>
      <c r="F3" s="517"/>
      <c r="G3" s="314"/>
      <c r="H3" s="315"/>
      <c r="I3" s="315"/>
      <c r="Y3" s="316" t="s">
        <v>225</v>
      </c>
      <c r="Z3" s="308" t="s">
        <v>230</v>
      </c>
    </row>
    <row r="4" spans="1:26" ht="18" x14ac:dyDescent="0.35">
      <c r="A4" s="312" t="s">
        <v>222</v>
      </c>
      <c r="B4" s="380" t="s">
        <v>225</v>
      </c>
      <c r="C4" s="380" t="s">
        <v>225</v>
      </c>
      <c r="D4" s="380" t="s">
        <v>225</v>
      </c>
      <c r="E4" s="380" t="s">
        <v>225</v>
      </c>
      <c r="F4" s="518" t="s">
        <v>337</v>
      </c>
      <c r="G4" s="314"/>
      <c r="H4" s="315"/>
      <c r="I4" s="315"/>
      <c r="Y4" s="316" t="s">
        <v>226</v>
      </c>
      <c r="Z4" s="308" t="s">
        <v>231</v>
      </c>
    </row>
    <row r="5" spans="1:26" ht="15.6" x14ac:dyDescent="0.3">
      <c r="A5" s="318" t="s">
        <v>223</v>
      </c>
      <c r="B5" s="381"/>
      <c r="C5" s="381"/>
      <c r="D5" s="381"/>
      <c r="E5" s="381"/>
      <c r="F5" s="518"/>
      <c r="G5" s="314"/>
      <c r="H5" s="515" t="s">
        <v>338</v>
      </c>
      <c r="I5" s="515"/>
      <c r="J5" s="515"/>
      <c r="K5" s="515"/>
      <c r="L5" s="515"/>
      <c r="N5" s="519" t="s">
        <v>398</v>
      </c>
      <c r="O5" s="519"/>
      <c r="P5" s="519"/>
      <c r="Q5" s="519"/>
      <c r="R5" s="319"/>
      <c r="Y5" s="316" t="s">
        <v>227</v>
      </c>
    </row>
    <row r="6" spans="1:26" ht="16.2" thickBot="1" x14ac:dyDescent="0.35">
      <c r="A6" s="320" t="s">
        <v>224</v>
      </c>
      <c r="B6" s="382">
        <v>12</v>
      </c>
      <c r="C6" s="382">
        <v>12</v>
      </c>
      <c r="D6" s="382">
        <v>12</v>
      </c>
      <c r="E6" s="382">
        <v>12</v>
      </c>
      <c r="F6" s="382">
        <v>12</v>
      </c>
      <c r="G6" s="314"/>
      <c r="H6" s="516"/>
      <c r="I6" s="516"/>
      <c r="J6" s="516"/>
      <c r="K6" s="516"/>
      <c r="L6" s="516"/>
      <c r="N6" s="520"/>
      <c r="O6" s="520"/>
      <c r="P6" s="520"/>
      <c r="Q6" s="520"/>
      <c r="R6" s="319"/>
      <c r="Y6" s="316" t="s">
        <v>228</v>
      </c>
    </row>
    <row r="7" spans="1:26" ht="16.2" thickBot="1" x14ac:dyDescent="0.35">
      <c r="A7" s="189" t="s">
        <v>344</v>
      </c>
      <c r="B7" s="321" t="str">
        <f>IF('Cover page'!$I$11=4,'Cover page'!$E$11,"")</f>
        <v/>
      </c>
      <c r="C7" s="321" t="str">
        <f>IF('Cover page'!$I$11=3,'Cover page'!$E$11,IF('Cover page'!$I$11=4,'Balance Sheet'!B7+1,""))</f>
        <v/>
      </c>
      <c r="D7" s="321" t="str">
        <f>IF('Cover page'!$I$11=2,'Cover page'!$E$11,IF('Cover page'!$I$11=4,'Balance Sheet'!C7+1,IF('Cover page'!$I$11=3,'Balance Sheet'!C7+1,"")))</f>
        <v/>
      </c>
      <c r="E7" s="321">
        <f>IF('Cover page'!$I$11=1,'Cover page'!$E$11,IF('Cover page'!$I$11=4,'Balance Sheet'!D7+1,IF('Cover page'!$I$11=3,'Balance Sheet'!D7+1,IF('Cover page'!$I$11=2,'Balance Sheet'!D7+1,""))))</f>
        <v>0</v>
      </c>
      <c r="F7" s="322" t="str">
        <f>IF('Cover page'!O11="","",'Cover page'!O11)</f>
        <v/>
      </c>
      <c r="G7" s="314"/>
      <c r="H7" s="321" t="str">
        <f>B7</f>
        <v/>
      </c>
      <c r="I7" s="321" t="str">
        <f t="shared" ref="I7:L7" si="0">C7</f>
        <v/>
      </c>
      <c r="J7" s="321" t="str">
        <f t="shared" si="0"/>
        <v/>
      </c>
      <c r="K7" s="321">
        <f t="shared" si="0"/>
        <v>0</v>
      </c>
      <c r="L7" s="323" t="str">
        <f t="shared" si="0"/>
        <v/>
      </c>
      <c r="N7" s="321" t="str">
        <f>I7</f>
        <v/>
      </c>
      <c r="O7" s="321" t="str">
        <f t="shared" ref="O7:Q7" si="1">J7</f>
        <v/>
      </c>
      <c r="P7" s="321">
        <f t="shared" si="1"/>
        <v>0</v>
      </c>
      <c r="Q7" s="323" t="str">
        <f t="shared" si="1"/>
        <v/>
      </c>
      <c r="S7" s="324" t="str">
        <f>H7</f>
        <v/>
      </c>
      <c r="T7" s="324" t="str">
        <f t="shared" ref="T7:W7" si="2">I7</f>
        <v/>
      </c>
      <c r="U7" s="324" t="str">
        <f t="shared" si="2"/>
        <v/>
      </c>
      <c r="V7" s="324">
        <f t="shared" si="2"/>
        <v>0</v>
      </c>
      <c r="W7" s="324" t="str">
        <f t="shared" si="2"/>
        <v/>
      </c>
      <c r="Y7" s="316" t="s">
        <v>336</v>
      </c>
    </row>
    <row r="8" spans="1:26" x14ac:dyDescent="0.3">
      <c r="A8" s="325" t="s">
        <v>141</v>
      </c>
      <c r="B8" s="326"/>
      <c r="C8" s="326"/>
      <c r="D8" s="326"/>
      <c r="E8" s="326"/>
      <c r="F8" s="327"/>
      <c r="G8" s="314"/>
    </row>
    <row r="9" spans="1:26" x14ac:dyDescent="0.3">
      <c r="A9" s="328" t="s">
        <v>173</v>
      </c>
      <c r="B9" s="326"/>
      <c r="C9" s="326"/>
      <c r="D9" s="326"/>
      <c r="E9" s="326"/>
      <c r="F9" s="327"/>
      <c r="G9" s="314"/>
      <c r="H9" s="329"/>
      <c r="I9" s="329"/>
      <c r="J9" s="329"/>
      <c r="K9" s="329"/>
      <c r="L9" s="329">
        <f t="shared" ref="L9" si="3">IFERROR(F9/F$42,"")</f>
        <v>0</v>
      </c>
      <c r="S9" s="330"/>
      <c r="T9" s="330" t="str">
        <f>IF(C9-B9=0,"",C9-B9)</f>
        <v/>
      </c>
      <c r="U9" s="330" t="str">
        <f>IF(D9-C9=0,"",D9-C9)</f>
        <v/>
      </c>
      <c r="V9" s="330" t="str">
        <f>IF(E9-D9=0,"",E9-D9)</f>
        <v/>
      </c>
      <c r="W9" s="330" t="str">
        <f>IF(F9-E9=0,"",F9-E9)</f>
        <v/>
      </c>
    </row>
    <row r="10" spans="1:26" x14ac:dyDescent="0.3">
      <c r="A10" s="331" t="s">
        <v>174</v>
      </c>
      <c r="B10" s="377"/>
      <c r="C10" s="377"/>
      <c r="D10" s="377">
        <v>4071</v>
      </c>
      <c r="E10" s="377">
        <v>13489</v>
      </c>
      <c r="F10" s="378">
        <v>42551</v>
      </c>
      <c r="G10" s="37"/>
      <c r="H10" s="329" t="str">
        <f t="shared" ref="H10:H23" si="4">IFERROR(B10/B$42,"")</f>
        <v/>
      </c>
      <c r="I10" s="329" t="str">
        <f t="shared" ref="I10:I23" si="5">IFERROR(C10/C$42,"")</f>
        <v/>
      </c>
      <c r="J10" s="329">
        <f t="shared" ref="J10:J23" si="6">IFERROR(D10/D$42,"")</f>
        <v>8.8143593296669986E-2</v>
      </c>
      <c r="K10" s="329">
        <f t="shared" ref="K10:K23" si="7">IFERROR(E10/E$42,"")</f>
        <v>7.4115791845010132E-2</v>
      </c>
      <c r="L10" s="329">
        <f t="shared" ref="L10:L23" si="8">IFERROR(F10/F$42,"")</f>
        <v>0.17270616694672414</v>
      </c>
      <c r="N10" s="329" t="str">
        <f>IFERROR(C10/B10-1,"")</f>
        <v/>
      </c>
      <c r="O10" s="329" t="str">
        <f t="shared" ref="O10:P10" si="9">IFERROR(D10/C10-1,"")</f>
        <v/>
      </c>
      <c r="P10" s="329">
        <f t="shared" si="9"/>
        <v>2.3134365020879391</v>
      </c>
      <c r="Q10" s="329" t="str">
        <f>IF($Q$7="","",IFERROR(F10/E10-1,""))</f>
        <v/>
      </c>
      <c r="S10" s="334"/>
      <c r="T10" s="330">
        <f>B10-C10</f>
        <v>0</v>
      </c>
      <c r="U10" s="330">
        <f t="shared" ref="U10:W10" si="10">C10-D10</f>
        <v>-4071</v>
      </c>
      <c r="V10" s="330">
        <f t="shared" si="10"/>
        <v>-9418</v>
      </c>
      <c r="W10" s="330">
        <f t="shared" si="10"/>
        <v>-29062</v>
      </c>
    </row>
    <row r="11" spans="1:26" x14ac:dyDescent="0.3">
      <c r="A11" s="331" t="s">
        <v>175</v>
      </c>
      <c r="B11" s="377"/>
      <c r="C11" s="377"/>
      <c r="D11" s="377">
        <v>12910</v>
      </c>
      <c r="E11" s="377">
        <v>65538</v>
      </c>
      <c r="F11" s="378">
        <v>83770</v>
      </c>
      <c r="G11" s="37"/>
      <c r="H11" s="329" t="str">
        <f t="shared" si="4"/>
        <v/>
      </c>
      <c r="I11" s="329" t="str">
        <f t="shared" si="5"/>
        <v/>
      </c>
      <c r="J11" s="329">
        <f t="shared" si="6"/>
        <v>0.27952193305330619</v>
      </c>
      <c r="K11" s="329">
        <f t="shared" si="7"/>
        <v>0.36010087967516308</v>
      </c>
      <c r="L11" s="329">
        <f t="shared" si="8"/>
        <v>0.34000600702984846</v>
      </c>
      <c r="N11" s="329" t="str">
        <f>IFERROR(C11/B11-1,"")</f>
        <v/>
      </c>
      <c r="O11" s="329" t="str">
        <f t="shared" ref="O11" si="11">IFERROR(D11/C11-1,"")</f>
        <v/>
      </c>
      <c r="P11" s="329">
        <f t="shared" ref="P11" si="12">IFERROR(E11/D11-1,"")</f>
        <v>4.0765298218435317</v>
      </c>
      <c r="Q11" s="329" t="str">
        <f>IF($Q$7="","",IFERROR(F11/E11-1,""))</f>
        <v/>
      </c>
      <c r="S11" s="334"/>
      <c r="T11" s="330">
        <f>B11-C11</f>
        <v>0</v>
      </c>
      <c r="U11" s="330">
        <f t="shared" ref="U11:W11" si="13">C11-D11</f>
        <v>-12910</v>
      </c>
      <c r="V11" s="330">
        <f t="shared" si="13"/>
        <v>-52628</v>
      </c>
      <c r="W11" s="330">
        <f t="shared" si="13"/>
        <v>-18232</v>
      </c>
    </row>
    <row r="12" spans="1:26" x14ac:dyDescent="0.3">
      <c r="A12" s="331" t="s">
        <v>176</v>
      </c>
      <c r="B12" s="332"/>
      <c r="C12" s="332"/>
      <c r="D12" s="332"/>
      <c r="E12" s="332"/>
      <c r="F12" s="333"/>
      <c r="G12" s="37"/>
      <c r="H12" s="329"/>
      <c r="I12" s="329"/>
      <c r="J12" s="329"/>
      <c r="K12" s="329"/>
      <c r="L12" s="329">
        <f t="shared" si="8"/>
        <v>0</v>
      </c>
      <c r="S12" s="334"/>
      <c r="T12" s="330"/>
      <c r="U12" s="330"/>
      <c r="V12" s="330"/>
      <c r="W12" s="330"/>
    </row>
    <row r="13" spans="1:26" x14ac:dyDescent="0.3">
      <c r="A13" s="335" t="s">
        <v>177</v>
      </c>
      <c r="B13" s="377"/>
      <c r="C13" s="377"/>
      <c r="D13" s="377"/>
      <c r="E13" s="377"/>
      <c r="F13" s="378"/>
      <c r="G13" s="37"/>
      <c r="H13" s="329" t="str">
        <f t="shared" si="4"/>
        <v/>
      </c>
      <c r="I13" s="329" t="str">
        <f t="shared" si="5"/>
        <v/>
      </c>
      <c r="J13" s="329">
        <f t="shared" si="6"/>
        <v>0</v>
      </c>
      <c r="K13" s="329">
        <f t="shared" si="7"/>
        <v>0</v>
      </c>
      <c r="L13" s="329">
        <f t="shared" si="8"/>
        <v>0</v>
      </c>
      <c r="N13" s="329" t="str">
        <f t="shared" ref="N13:N16" si="14">IFERROR(C13/B13-1,"")</f>
        <v/>
      </c>
      <c r="O13" s="329" t="str">
        <f t="shared" ref="O13:O16" si="15">IFERROR(D13/C13-1,"")</f>
        <v/>
      </c>
      <c r="P13" s="329" t="str">
        <f t="shared" ref="P13:P16" si="16">IFERROR(E13/D13-1,"")</f>
        <v/>
      </c>
      <c r="Q13" s="329" t="str">
        <f t="shared" ref="Q13:Q16" si="17">IF($Q$7="","",IFERROR(F13/E13-1,""))</f>
        <v/>
      </c>
      <c r="S13" s="334"/>
      <c r="T13" s="330">
        <f>B13-C13</f>
        <v>0</v>
      </c>
      <c r="U13" s="330">
        <f t="shared" ref="U13:W18" si="18">C13-D13</f>
        <v>0</v>
      </c>
      <c r="V13" s="330">
        <f t="shared" si="18"/>
        <v>0</v>
      </c>
      <c r="W13" s="330">
        <f t="shared" si="18"/>
        <v>0</v>
      </c>
    </row>
    <row r="14" spans="1:26" x14ac:dyDescent="0.3">
      <c r="A14" s="335" t="s">
        <v>178</v>
      </c>
      <c r="B14" s="377"/>
      <c r="C14" s="377"/>
      <c r="D14" s="377"/>
      <c r="E14" s="377"/>
      <c r="F14" s="378"/>
      <c r="G14" s="37"/>
      <c r="H14" s="329" t="str">
        <f t="shared" si="4"/>
        <v/>
      </c>
      <c r="I14" s="329" t="str">
        <f t="shared" si="5"/>
        <v/>
      </c>
      <c r="J14" s="329">
        <f t="shared" si="6"/>
        <v>0</v>
      </c>
      <c r="K14" s="329">
        <f t="shared" si="7"/>
        <v>0</v>
      </c>
      <c r="L14" s="329">
        <f t="shared" si="8"/>
        <v>0</v>
      </c>
      <c r="N14" s="329" t="str">
        <f t="shared" si="14"/>
        <v/>
      </c>
      <c r="O14" s="329" t="str">
        <f t="shared" si="15"/>
        <v/>
      </c>
      <c r="P14" s="329" t="str">
        <f t="shared" si="16"/>
        <v/>
      </c>
      <c r="Q14" s="329" t="str">
        <f t="shared" si="17"/>
        <v/>
      </c>
      <c r="S14" s="334"/>
      <c r="T14" s="330">
        <f t="shared" ref="T14:T18" si="19">B14-C14</f>
        <v>0</v>
      </c>
      <c r="U14" s="330">
        <f t="shared" si="18"/>
        <v>0</v>
      </c>
      <c r="V14" s="330">
        <f t="shared" si="18"/>
        <v>0</v>
      </c>
      <c r="W14" s="330">
        <f t="shared" si="18"/>
        <v>0</v>
      </c>
    </row>
    <row r="15" spans="1:26" x14ac:dyDescent="0.3">
      <c r="A15" s="335" t="s">
        <v>179</v>
      </c>
      <c r="B15" s="377"/>
      <c r="C15" s="377"/>
      <c r="D15" s="377">
        <v>29205</v>
      </c>
      <c r="E15" s="377">
        <v>58308</v>
      </c>
      <c r="F15" s="378">
        <v>75393</v>
      </c>
      <c r="G15" s="37"/>
      <c r="H15" s="329" t="str">
        <f t="shared" si="4"/>
        <v/>
      </c>
      <c r="I15" s="329" t="str">
        <f t="shared" si="5"/>
        <v/>
      </c>
      <c r="J15" s="329">
        <f t="shared" si="6"/>
        <v>0.63233447365002382</v>
      </c>
      <c r="K15" s="329">
        <f t="shared" si="7"/>
        <v>0.32037538667794879</v>
      </c>
      <c r="L15" s="329">
        <f t="shared" si="8"/>
        <v>0.30600540632686363</v>
      </c>
      <c r="N15" s="329" t="str">
        <f t="shared" si="14"/>
        <v/>
      </c>
      <c r="O15" s="329" t="str">
        <f t="shared" si="15"/>
        <v/>
      </c>
      <c r="P15" s="329">
        <f t="shared" si="16"/>
        <v>0.99650744735490493</v>
      </c>
      <c r="Q15" s="329" t="str">
        <f t="shared" si="17"/>
        <v/>
      </c>
      <c r="S15" s="334"/>
      <c r="T15" s="330">
        <f t="shared" si="19"/>
        <v>0</v>
      </c>
      <c r="U15" s="330">
        <f t="shared" si="18"/>
        <v>-29205</v>
      </c>
      <c r="V15" s="330">
        <f t="shared" si="18"/>
        <v>-29103</v>
      </c>
      <c r="W15" s="330">
        <f t="shared" si="18"/>
        <v>-17085</v>
      </c>
    </row>
    <row r="16" spans="1:26" x14ac:dyDescent="0.3">
      <c r="A16" s="335" t="s">
        <v>180</v>
      </c>
      <c r="B16" s="377"/>
      <c r="C16" s="377"/>
      <c r="D16" s="377"/>
      <c r="E16" s="377"/>
      <c r="F16" s="378"/>
      <c r="G16" s="37"/>
      <c r="H16" s="336" t="str">
        <f t="shared" si="4"/>
        <v/>
      </c>
      <c r="I16" s="336" t="str">
        <f t="shared" si="5"/>
        <v/>
      </c>
      <c r="J16" s="336">
        <f t="shared" si="6"/>
        <v>0</v>
      </c>
      <c r="K16" s="336">
        <f t="shared" si="7"/>
        <v>0</v>
      </c>
      <c r="L16" s="336">
        <f t="shared" si="8"/>
        <v>0</v>
      </c>
      <c r="N16" s="329" t="str">
        <f t="shared" si="14"/>
        <v/>
      </c>
      <c r="O16" s="329" t="str">
        <f t="shared" si="15"/>
        <v/>
      </c>
      <c r="P16" s="329" t="str">
        <f t="shared" si="16"/>
        <v/>
      </c>
      <c r="Q16" s="329" t="str">
        <f t="shared" si="17"/>
        <v/>
      </c>
      <c r="S16" s="334"/>
      <c r="T16" s="330">
        <f t="shared" si="19"/>
        <v>0</v>
      </c>
      <c r="U16" s="330">
        <f t="shared" si="18"/>
        <v>0</v>
      </c>
      <c r="V16" s="330">
        <f t="shared" si="18"/>
        <v>0</v>
      </c>
      <c r="W16" s="330">
        <f t="shared" si="18"/>
        <v>0</v>
      </c>
    </row>
    <row r="17" spans="1:28" s="343" customFormat="1" x14ac:dyDescent="0.3">
      <c r="A17" s="337" t="s">
        <v>142</v>
      </c>
      <c r="B17" s="338">
        <f>SUM(B13:B16)</f>
        <v>0</v>
      </c>
      <c r="C17" s="338">
        <f t="shared" ref="C17:F17" si="20">SUM(C13:C16)</f>
        <v>0</v>
      </c>
      <c r="D17" s="338">
        <f t="shared" si="20"/>
        <v>29205</v>
      </c>
      <c r="E17" s="338">
        <f t="shared" si="20"/>
        <v>58308</v>
      </c>
      <c r="F17" s="339">
        <f t="shared" si="20"/>
        <v>75393</v>
      </c>
      <c r="G17" s="340"/>
      <c r="H17" s="341" t="str">
        <f t="shared" si="4"/>
        <v/>
      </c>
      <c r="I17" s="341" t="str">
        <f t="shared" si="5"/>
        <v/>
      </c>
      <c r="J17" s="341">
        <f t="shared" si="6"/>
        <v>0.63233447365002382</v>
      </c>
      <c r="K17" s="341">
        <f t="shared" si="7"/>
        <v>0.32037538667794879</v>
      </c>
      <c r="L17" s="342">
        <f t="shared" si="8"/>
        <v>0.30600540632686363</v>
      </c>
      <c r="N17" s="344" t="str">
        <f t="shared" ref="N17:N76" si="21">IFERROR(C17/B17-1,"")</f>
        <v/>
      </c>
      <c r="O17" s="344" t="str">
        <f t="shared" ref="O17:O76" si="22">IFERROR(D17/C17-1,"")</f>
        <v/>
      </c>
      <c r="P17" s="344">
        <f t="shared" ref="P17:P76" si="23">IFERROR(E17/D17-1,"")</f>
        <v>0.99650744735490493</v>
      </c>
      <c r="Q17" s="345" t="str">
        <f t="shared" ref="Q17:Q76" si="24">IF($Q$7="","",IFERROR(F17/E17-1,""))</f>
        <v/>
      </c>
      <c r="R17" s="346"/>
      <c r="S17" s="347"/>
      <c r="T17" s="348">
        <f>B17-C17</f>
        <v>0</v>
      </c>
      <c r="U17" s="348">
        <f t="shared" si="18"/>
        <v>-29205</v>
      </c>
      <c r="V17" s="348">
        <f t="shared" si="18"/>
        <v>-29103</v>
      </c>
      <c r="W17" s="348">
        <f t="shared" si="18"/>
        <v>-17085</v>
      </c>
      <c r="X17" s="476"/>
      <c r="Y17" s="346"/>
      <c r="Z17" s="346"/>
      <c r="AA17" s="346"/>
      <c r="AB17" s="346"/>
    </row>
    <row r="18" spans="1:28" x14ac:dyDescent="0.3">
      <c r="A18" s="331" t="s">
        <v>181</v>
      </c>
      <c r="B18" s="377"/>
      <c r="C18" s="377"/>
      <c r="D18" s="377"/>
      <c r="E18" s="377"/>
      <c r="F18" s="378"/>
      <c r="G18" s="37"/>
      <c r="H18" s="329" t="str">
        <f t="shared" si="4"/>
        <v/>
      </c>
      <c r="I18" s="329" t="str">
        <f t="shared" si="5"/>
        <v/>
      </c>
      <c r="J18" s="329">
        <f t="shared" si="6"/>
        <v>0</v>
      </c>
      <c r="K18" s="329">
        <f t="shared" si="7"/>
        <v>0</v>
      </c>
      <c r="L18" s="99">
        <f t="shared" si="8"/>
        <v>0</v>
      </c>
      <c r="N18" s="329" t="str">
        <f t="shared" si="21"/>
        <v/>
      </c>
      <c r="O18" s="329" t="str">
        <f t="shared" si="22"/>
        <v/>
      </c>
      <c r="P18" s="329" t="str">
        <f t="shared" si="23"/>
        <v/>
      </c>
      <c r="Q18" s="99" t="str">
        <f t="shared" si="24"/>
        <v/>
      </c>
      <c r="S18" s="334"/>
      <c r="T18" s="330">
        <f t="shared" si="19"/>
        <v>0</v>
      </c>
      <c r="U18" s="330">
        <f t="shared" si="18"/>
        <v>0</v>
      </c>
      <c r="V18" s="330">
        <f t="shared" si="18"/>
        <v>0</v>
      </c>
      <c r="W18" s="330">
        <f t="shared" si="18"/>
        <v>0</v>
      </c>
    </row>
    <row r="19" spans="1:28" x14ac:dyDescent="0.3">
      <c r="A19" s="331" t="s">
        <v>182</v>
      </c>
      <c r="B19" s="377"/>
      <c r="C19" s="377"/>
      <c r="D19" s="377"/>
      <c r="E19" s="377">
        <v>4664</v>
      </c>
      <c r="F19" s="378">
        <v>4664</v>
      </c>
      <c r="G19" s="37"/>
      <c r="H19" s="329" t="str">
        <f t="shared" si="4"/>
        <v/>
      </c>
      <c r="I19" s="329" t="str">
        <f t="shared" si="5"/>
        <v/>
      </c>
      <c r="J19" s="329">
        <f t="shared" si="6"/>
        <v>0</v>
      </c>
      <c r="K19" s="329">
        <f t="shared" si="7"/>
        <v>2.5626514431397976E-2</v>
      </c>
      <c r="L19" s="99">
        <f t="shared" si="8"/>
        <v>1.8930261630502723E-2</v>
      </c>
      <c r="N19" s="329" t="str">
        <f t="shared" si="21"/>
        <v/>
      </c>
      <c r="O19" s="329" t="str">
        <f t="shared" si="22"/>
        <v/>
      </c>
      <c r="P19" s="329" t="str">
        <f t="shared" si="23"/>
        <v/>
      </c>
      <c r="Q19" s="99" t="str">
        <f t="shared" si="24"/>
        <v/>
      </c>
      <c r="S19" s="334"/>
      <c r="T19" s="330">
        <f t="shared" ref="T19:T22" si="25">B19-C19</f>
        <v>0</v>
      </c>
      <c r="U19" s="330">
        <f t="shared" ref="U19:U23" si="26">C19-D19</f>
        <v>0</v>
      </c>
      <c r="V19" s="330">
        <f t="shared" ref="V19:V23" si="27">D19-E19</f>
        <v>-4664</v>
      </c>
      <c r="W19" s="330">
        <f t="shared" ref="W19:W23" si="28">E19-F19</f>
        <v>0</v>
      </c>
    </row>
    <row r="20" spans="1:28" x14ac:dyDescent="0.3">
      <c r="A20" s="331" t="s">
        <v>183</v>
      </c>
      <c r="B20" s="377"/>
      <c r="C20" s="377"/>
      <c r="D20" s="377"/>
      <c r="E20" s="377"/>
      <c r="F20" s="378"/>
      <c r="G20" s="37"/>
      <c r="H20" s="329" t="str">
        <f t="shared" si="4"/>
        <v/>
      </c>
      <c r="I20" s="329" t="str">
        <f t="shared" si="5"/>
        <v/>
      </c>
      <c r="J20" s="329">
        <f t="shared" si="6"/>
        <v>0</v>
      </c>
      <c r="K20" s="329">
        <f t="shared" si="7"/>
        <v>0</v>
      </c>
      <c r="L20" s="99">
        <f t="shared" si="8"/>
        <v>0</v>
      </c>
      <c r="N20" s="329" t="str">
        <f t="shared" si="21"/>
        <v/>
      </c>
      <c r="O20" s="329" t="str">
        <f t="shared" si="22"/>
        <v/>
      </c>
      <c r="P20" s="329" t="str">
        <f t="shared" si="23"/>
        <v/>
      </c>
      <c r="Q20" s="99" t="str">
        <f t="shared" si="24"/>
        <v/>
      </c>
      <c r="S20" s="334"/>
      <c r="T20" s="330">
        <f t="shared" si="25"/>
        <v>0</v>
      </c>
      <c r="U20" s="330">
        <f t="shared" si="26"/>
        <v>0</v>
      </c>
      <c r="V20" s="330">
        <f t="shared" si="27"/>
        <v>0</v>
      </c>
      <c r="W20" s="330">
        <f t="shared" si="28"/>
        <v>0</v>
      </c>
    </row>
    <row r="21" spans="1:28" x14ac:dyDescent="0.3">
      <c r="A21" s="331" t="s">
        <v>243</v>
      </c>
      <c r="B21" s="377"/>
      <c r="C21" s="377"/>
      <c r="D21" s="377"/>
      <c r="E21" s="377"/>
      <c r="F21" s="378"/>
      <c r="G21" s="37"/>
      <c r="H21" s="329"/>
      <c r="I21" s="329"/>
      <c r="J21" s="329"/>
      <c r="K21" s="329"/>
      <c r="L21" s="99"/>
      <c r="N21" s="329" t="str">
        <f t="shared" si="21"/>
        <v/>
      </c>
      <c r="O21" s="329" t="str">
        <f t="shared" si="22"/>
        <v/>
      </c>
      <c r="P21" s="329" t="str">
        <f t="shared" si="23"/>
        <v/>
      </c>
      <c r="Q21" s="99" t="str">
        <f t="shared" si="24"/>
        <v/>
      </c>
      <c r="S21" s="334"/>
      <c r="T21" s="330">
        <f t="shared" si="25"/>
        <v>0</v>
      </c>
      <c r="U21" s="330">
        <f t="shared" si="26"/>
        <v>0</v>
      </c>
      <c r="V21" s="330">
        <f t="shared" si="27"/>
        <v>0</v>
      </c>
      <c r="W21" s="330">
        <f t="shared" si="28"/>
        <v>0</v>
      </c>
    </row>
    <row r="22" spans="1:28" x14ac:dyDescent="0.3">
      <c r="A22" s="331" t="s">
        <v>184</v>
      </c>
      <c r="B22" s="377"/>
      <c r="C22" s="377"/>
      <c r="D22" s="377"/>
      <c r="E22" s="377"/>
      <c r="F22" s="378"/>
      <c r="G22" s="37"/>
      <c r="H22" s="329" t="str">
        <f t="shared" si="4"/>
        <v/>
      </c>
      <c r="I22" s="329" t="str">
        <f t="shared" si="5"/>
        <v/>
      </c>
      <c r="J22" s="329">
        <f t="shared" si="6"/>
        <v>0</v>
      </c>
      <c r="K22" s="329">
        <f t="shared" si="7"/>
        <v>0</v>
      </c>
      <c r="L22" s="99">
        <f t="shared" si="8"/>
        <v>0</v>
      </c>
      <c r="N22" s="329" t="str">
        <f t="shared" si="21"/>
        <v/>
      </c>
      <c r="O22" s="329" t="str">
        <f t="shared" si="22"/>
        <v/>
      </c>
      <c r="P22" s="329" t="str">
        <f t="shared" si="23"/>
        <v/>
      </c>
      <c r="Q22" s="99" t="str">
        <f t="shared" si="24"/>
        <v/>
      </c>
      <c r="S22" s="334"/>
      <c r="T22" s="330">
        <f t="shared" si="25"/>
        <v>0</v>
      </c>
      <c r="U22" s="330">
        <f t="shared" si="26"/>
        <v>0</v>
      </c>
      <c r="V22" s="330">
        <f t="shared" si="27"/>
        <v>0</v>
      </c>
      <c r="W22" s="330">
        <f t="shared" si="28"/>
        <v>0</v>
      </c>
    </row>
    <row r="23" spans="1:28" s="343" customFormat="1" ht="15" thickBot="1" x14ac:dyDescent="0.35">
      <c r="A23" s="349" t="s">
        <v>185</v>
      </c>
      <c r="B23" s="350">
        <f>SUM(B10:B11)+B17+SUM(B18:B22)</f>
        <v>0</v>
      </c>
      <c r="C23" s="350">
        <f t="shared" ref="C23:F23" si="29">SUM(C10:C11)+C17+SUM(C18:C22)</f>
        <v>0</v>
      </c>
      <c r="D23" s="350">
        <f t="shared" si="29"/>
        <v>46186</v>
      </c>
      <c r="E23" s="350">
        <f t="shared" si="29"/>
        <v>141999</v>
      </c>
      <c r="F23" s="350">
        <f t="shared" si="29"/>
        <v>206378</v>
      </c>
      <c r="G23" s="340"/>
      <c r="H23" s="351" t="str">
        <f t="shared" si="4"/>
        <v/>
      </c>
      <c r="I23" s="351" t="str">
        <f t="shared" si="5"/>
        <v/>
      </c>
      <c r="J23" s="351">
        <f t="shared" si="6"/>
        <v>1</v>
      </c>
      <c r="K23" s="351">
        <f t="shared" si="7"/>
        <v>0.78021857262951999</v>
      </c>
      <c r="L23" s="352">
        <f t="shared" si="8"/>
        <v>0.83764784193393893</v>
      </c>
      <c r="N23" s="351" t="str">
        <f t="shared" si="21"/>
        <v/>
      </c>
      <c r="O23" s="351" t="str">
        <f t="shared" si="22"/>
        <v/>
      </c>
      <c r="P23" s="351">
        <f t="shared" si="23"/>
        <v>2.0745030961763304</v>
      </c>
      <c r="Q23" s="352" t="str">
        <f t="shared" si="24"/>
        <v/>
      </c>
      <c r="R23" s="346"/>
      <c r="S23" s="347"/>
      <c r="T23" s="348">
        <f t="shared" ref="T23" si="30">B23-C23</f>
        <v>0</v>
      </c>
      <c r="U23" s="348">
        <f t="shared" si="26"/>
        <v>-46186</v>
      </c>
      <c r="V23" s="348">
        <f t="shared" si="27"/>
        <v>-95813</v>
      </c>
      <c r="W23" s="348">
        <f t="shared" si="28"/>
        <v>-64379</v>
      </c>
      <c r="X23" s="476"/>
      <c r="Y23" s="346"/>
      <c r="Z23" s="346"/>
      <c r="AA23" s="346"/>
      <c r="AB23" s="346"/>
    </row>
    <row r="24" spans="1:28" ht="15" thickTop="1" x14ac:dyDescent="0.3">
      <c r="A24" s="37"/>
      <c r="B24" s="332"/>
      <c r="C24" s="332"/>
      <c r="D24" s="332"/>
      <c r="E24" s="332"/>
      <c r="F24" s="333"/>
      <c r="G24" s="37"/>
      <c r="H24" s="329"/>
      <c r="I24" s="329"/>
      <c r="J24" s="329"/>
      <c r="K24" s="329"/>
      <c r="L24" s="99"/>
      <c r="N24" s="329"/>
      <c r="O24" s="329"/>
      <c r="P24" s="329"/>
      <c r="Q24" s="99"/>
      <c r="S24" s="334"/>
      <c r="T24" s="330"/>
      <c r="U24" s="330"/>
      <c r="V24" s="330"/>
      <c r="W24" s="330"/>
    </row>
    <row r="25" spans="1:28" x14ac:dyDescent="0.3">
      <c r="A25" s="328" t="s">
        <v>186</v>
      </c>
      <c r="B25" s="332"/>
      <c r="C25" s="332"/>
      <c r="D25" s="332"/>
      <c r="E25" s="332"/>
      <c r="F25" s="333"/>
      <c r="G25" s="37"/>
      <c r="H25" s="329" t="str">
        <f t="shared" ref="H25:H40" si="31">IFERROR(B25/B$42,"")</f>
        <v/>
      </c>
      <c r="I25" s="329" t="str">
        <f t="shared" ref="I25:I40" si="32">IFERROR(C25/C$42,"")</f>
        <v/>
      </c>
      <c r="J25" s="329">
        <f t="shared" ref="J25:J40" si="33">IFERROR(D25/D$42,"")</f>
        <v>0</v>
      </c>
      <c r="K25" s="329">
        <f t="shared" ref="K25:K40" si="34">IFERROR(E25/E$42,"")</f>
        <v>0</v>
      </c>
      <c r="L25" s="99">
        <f t="shared" ref="L25:L40" si="35">IFERROR(F25/F$42,"")</f>
        <v>0</v>
      </c>
      <c r="N25" s="329" t="str">
        <f t="shared" si="21"/>
        <v/>
      </c>
      <c r="O25" s="329" t="str">
        <f t="shared" si="22"/>
        <v/>
      </c>
      <c r="P25" s="329" t="str">
        <f t="shared" si="23"/>
        <v/>
      </c>
      <c r="Q25" s="99" t="str">
        <f t="shared" si="24"/>
        <v/>
      </c>
      <c r="S25" s="334"/>
      <c r="T25" s="330">
        <f t="shared" ref="T25:T40" si="36">B25-C25</f>
        <v>0</v>
      </c>
      <c r="U25" s="330">
        <f t="shared" ref="U25:U40" si="37">C25-D25</f>
        <v>0</v>
      </c>
      <c r="V25" s="330">
        <f t="shared" ref="V25:V40" si="38">D25-E25</f>
        <v>0</v>
      </c>
      <c r="W25" s="330">
        <f t="shared" ref="W25:W40" si="39">E25-F25</f>
        <v>0</v>
      </c>
    </row>
    <row r="26" spans="1:28" x14ac:dyDescent="0.3">
      <c r="A26" s="331" t="s">
        <v>187</v>
      </c>
      <c r="B26" s="377"/>
      <c r="C26" s="377"/>
      <c r="D26" s="377">
        <v>0</v>
      </c>
      <c r="E26" s="377">
        <v>40000</v>
      </c>
      <c r="F26" s="378">
        <v>40000</v>
      </c>
      <c r="G26" s="37"/>
      <c r="H26" s="329" t="str">
        <f t="shared" si="31"/>
        <v/>
      </c>
      <c r="I26" s="329" t="str">
        <f t="shared" si="32"/>
        <v/>
      </c>
      <c r="J26" s="329">
        <f t="shared" si="33"/>
        <v>0</v>
      </c>
      <c r="K26" s="329">
        <f t="shared" si="34"/>
        <v>0.21978142737048006</v>
      </c>
      <c r="L26" s="99">
        <f t="shared" si="35"/>
        <v>0.1623521580660611</v>
      </c>
      <c r="N26" s="329" t="str">
        <f t="shared" si="21"/>
        <v/>
      </c>
      <c r="O26" s="329" t="str">
        <f t="shared" si="22"/>
        <v/>
      </c>
      <c r="P26" s="329" t="str">
        <f t="shared" si="23"/>
        <v/>
      </c>
      <c r="Q26" s="99" t="str">
        <f t="shared" si="24"/>
        <v/>
      </c>
      <c r="S26" s="334"/>
      <c r="T26" s="330">
        <f t="shared" si="36"/>
        <v>0</v>
      </c>
      <c r="U26" s="330">
        <f t="shared" si="37"/>
        <v>0</v>
      </c>
      <c r="V26" s="330">
        <f t="shared" si="38"/>
        <v>-40000</v>
      </c>
      <c r="W26" s="330">
        <f t="shared" si="39"/>
        <v>0</v>
      </c>
    </row>
    <row r="27" spans="1:28" x14ac:dyDescent="0.3">
      <c r="A27" s="331" t="s">
        <v>143</v>
      </c>
      <c r="B27" s="377"/>
      <c r="C27" s="377"/>
      <c r="D27" s="377"/>
      <c r="E27" s="377"/>
      <c r="F27" s="378"/>
      <c r="G27" s="37"/>
      <c r="H27" s="329" t="str">
        <f t="shared" si="31"/>
        <v/>
      </c>
      <c r="I27" s="329" t="str">
        <f t="shared" si="32"/>
        <v/>
      </c>
      <c r="J27" s="329">
        <f t="shared" si="33"/>
        <v>0</v>
      </c>
      <c r="K27" s="329">
        <f t="shared" si="34"/>
        <v>0</v>
      </c>
      <c r="L27" s="99">
        <f t="shared" si="35"/>
        <v>0</v>
      </c>
      <c r="N27" s="329" t="str">
        <f t="shared" si="21"/>
        <v/>
      </c>
      <c r="O27" s="329" t="str">
        <f t="shared" si="22"/>
        <v/>
      </c>
      <c r="P27" s="329" t="str">
        <f t="shared" si="23"/>
        <v/>
      </c>
      <c r="Q27" s="99" t="str">
        <f t="shared" si="24"/>
        <v/>
      </c>
      <c r="S27" s="334"/>
      <c r="T27" s="330">
        <f t="shared" si="36"/>
        <v>0</v>
      </c>
      <c r="U27" s="330">
        <f t="shared" si="37"/>
        <v>0</v>
      </c>
      <c r="V27" s="330">
        <f t="shared" si="38"/>
        <v>0</v>
      </c>
      <c r="W27" s="330">
        <f t="shared" si="39"/>
        <v>0</v>
      </c>
    </row>
    <row r="28" spans="1:28" x14ac:dyDescent="0.3">
      <c r="A28" s="331" t="s">
        <v>188</v>
      </c>
      <c r="B28" s="377"/>
      <c r="C28" s="377"/>
      <c r="D28" s="377">
        <v>198</v>
      </c>
      <c r="E28" s="377">
        <v>198</v>
      </c>
      <c r="F28" s="378">
        <v>198</v>
      </c>
      <c r="G28" s="37"/>
      <c r="H28" s="329" t="str">
        <f t="shared" si="31"/>
        <v/>
      </c>
      <c r="I28" s="329" t="str">
        <f t="shared" si="32"/>
        <v/>
      </c>
      <c r="J28" s="329">
        <f t="shared" si="33"/>
        <v>4.2870133806781272E-3</v>
      </c>
      <c r="K28" s="329">
        <f t="shared" si="34"/>
        <v>1.0879180654838764E-3</v>
      </c>
      <c r="L28" s="99">
        <f t="shared" si="35"/>
        <v>8.0364318242700237E-4</v>
      </c>
      <c r="N28" s="329" t="str">
        <f t="shared" si="21"/>
        <v/>
      </c>
      <c r="O28" s="329" t="str">
        <f t="shared" si="22"/>
        <v/>
      </c>
      <c r="P28" s="329">
        <f t="shared" si="23"/>
        <v>0</v>
      </c>
      <c r="Q28" s="99" t="str">
        <f t="shared" si="24"/>
        <v/>
      </c>
      <c r="S28" s="334"/>
      <c r="T28" s="330">
        <f t="shared" si="36"/>
        <v>0</v>
      </c>
      <c r="U28" s="330">
        <f t="shared" si="37"/>
        <v>-198</v>
      </c>
      <c r="V28" s="330">
        <f t="shared" si="38"/>
        <v>0</v>
      </c>
      <c r="W28" s="330">
        <f t="shared" si="39"/>
        <v>0</v>
      </c>
    </row>
    <row r="29" spans="1:28" x14ac:dyDescent="0.3">
      <c r="A29" s="331" t="s">
        <v>189</v>
      </c>
      <c r="B29" s="377"/>
      <c r="C29" s="377"/>
      <c r="D29" s="377"/>
      <c r="E29" s="377"/>
      <c r="F29" s="378"/>
      <c r="G29" s="37"/>
      <c r="H29" s="329" t="str">
        <f t="shared" si="31"/>
        <v/>
      </c>
      <c r="I29" s="329" t="str">
        <f t="shared" si="32"/>
        <v/>
      </c>
      <c r="J29" s="329">
        <f t="shared" si="33"/>
        <v>0</v>
      </c>
      <c r="K29" s="329">
        <f t="shared" si="34"/>
        <v>0</v>
      </c>
      <c r="L29" s="99">
        <f t="shared" si="35"/>
        <v>0</v>
      </c>
      <c r="N29" s="329" t="str">
        <f t="shared" si="21"/>
        <v/>
      </c>
      <c r="O29" s="329" t="str">
        <f t="shared" si="22"/>
        <v/>
      </c>
      <c r="P29" s="329" t="str">
        <f t="shared" si="23"/>
        <v/>
      </c>
      <c r="Q29" s="99" t="str">
        <f t="shared" si="24"/>
        <v/>
      </c>
      <c r="S29" s="334"/>
      <c r="T29" s="330">
        <f t="shared" si="36"/>
        <v>0</v>
      </c>
      <c r="U29" s="330">
        <f t="shared" si="37"/>
        <v>0</v>
      </c>
      <c r="V29" s="330">
        <f t="shared" si="38"/>
        <v>0</v>
      </c>
      <c r="W29" s="330">
        <f t="shared" si="39"/>
        <v>0</v>
      </c>
    </row>
    <row r="30" spans="1:28" s="343" customFormat="1" x14ac:dyDescent="0.3">
      <c r="A30" s="353" t="s">
        <v>190</v>
      </c>
      <c r="B30" s="338">
        <f>SUM(B26:B29)</f>
        <v>0</v>
      </c>
      <c r="C30" s="338">
        <f t="shared" ref="C30:F30" si="40">SUM(C26:C29)</f>
        <v>0</v>
      </c>
      <c r="D30" s="338">
        <f t="shared" si="40"/>
        <v>198</v>
      </c>
      <c r="E30" s="338">
        <f t="shared" si="40"/>
        <v>40198</v>
      </c>
      <c r="F30" s="339">
        <f t="shared" si="40"/>
        <v>40198</v>
      </c>
      <c r="G30" s="340"/>
      <c r="H30" s="344" t="str">
        <f t="shared" si="31"/>
        <v/>
      </c>
      <c r="I30" s="344" t="str">
        <f t="shared" si="32"/>
        <v/>
      </c>
      <c r="J30" s="344">
        <f t="shared" si="33"/>
        <v>4.2870133806781272E-3</v>
      </c>
      <c r="K30" s="344">
        <f t="shared" si="34"/>
        <v>0.22086934543596393</v>
      </c>
      <c r="L30" s="345">
        <f t="shared" si="35"/>
        <v>0.16315580124848811</v>
      </c>
      <c r="N30" s="344" t="str">
        <f t="shared" si="21"/>
        <v/>
      </c>
      <c r="O30" s="344" t="str">
        <f t="shared" si="22"/>
        <v/>
      </c>
      <c r="P30" s="344">
        <f t="shared" si="23"/>
        <v>202.02020202020202</v>
      </c>
      <c r="Q30" s="345" t="str">
        <f t="shared" si="24"/>
        <v/>
      </c>
      <c r="R30" s="346"/>
      <c r="S30" s="347"/>
      <c r="T30" s="348">
        <f t="shared" si="36"/>
        <v>0</v>
      </c>
      <c r="U30" s="348">
        <f t="shared" si="37"/>
        <v>-198</v>
      </c>
      <c r="V30" s="348">
        <f t="shared" si="38"/>
        <v>-40000</v>
      </c>
      <c r="W30" s="348">
        <f t="shared" si="39"/>
        <v>0</v>
      </c>
      <c r="X30" s="476"/>
      <c r="Y30" s="346"/>
      <c r="Z30" s="346"/>
      <c r="AA30" s="346"/>
      <c r="AB30" s="346"/>
    </row>
    <row r="31" spans="1:28" x14ac:dyDescent="0.3">
      <c r="A31" s="331" t="s">
        <v>220</v>
      </c>
      <c r="B31" s="377">
        <f>B29</f>
        <v>0</v>
      </c>
      <c r="C31" s="377">
        <f t="shared" ref="C31" si="41">C29</f>
        <v>0</v>
      </c>
      <c r="D31" s="377">
        <v>198</v>
      </c>
      <c r="E31" s="377">
        <v>198</v>
      </c>
      <c r="F31" s="378">
        <v>198</v>
      </c>
      <c r="G31" s="37"/>
      <c r="H31" s="336" t="str">
        <f t="shared" si="31"/>
        <v/>
      </c>
      <c r="I31" s="336" t="str">
        <f t="shared" si="32"/>
        <v/>
      </c>
      <c r="J31" s="336">
        <f t="shared" si="33"/>
        <v>4.2870133806781272E-3</v>
      </c>
      <c r="K31" s="336">
        <f t="shared" si="34"/>
        <v>1.0879180654838764E-3</v>
      </c>
      <c r="L31" s="354">
        <f t="shared" si="35"/>
        <v>8.0364318242700237E-4</v>
      </c>
      <c r="N31" s="336" t="str">
        <f t="shared" si="21"/>
        <v/>
      </c>
      <c r="O31" s="336" t="str">
        <f t="shared" si="22"/>
        <v/>
      </c>
      <c r="P31" s="336">
        <f t="shared" si="23"/>
        <v>0</v>
      </c>
      <c r="Q31" s="354" t="str">
        <f t="shared" si="24"/>
        <v/>
      </c>
      <c r="S31" s="334"/>
      <c r="T31" s="330">
        <f t="shared" si="36"/>
        <v>0</v>
      </c>
      <c r="U31" s="330">
        <f t="shared" si="37"/>
        <v>-198</v>
      </c>
      <c r="V31" s="330">
        <f t="shared" si="38"/>
        <v>0</v>
      </c>
      <c r="W31" s="330">
        <f t="shared" si="39"/>
        <v>0</v>
      </c>
    </row>
    <row r="32" spans="1:28" s="343" customFormat="1" x14ac:dyDescent="0.3">
      <c r="A32" s="353" t="s">
        <v>191</v>
      </c>
      <c r="B32" s="338">
        <f>B30-B31</f>
        <v>0</v>
      </c>
      <c r="C32" s="338">
        <f t="shared" ref="C32:F32" si="42">C30-C31</f>
        <v>0</v>
      </c>
      <c r="D32" s="338">
        <f t="shared" si="42"/>
        <v>0</v>
      </c>
      <c r="E32" s="338">
        <f t="shared" si="42"/>
        <v>40000</v>
      </c>
      <c r="F32" s="339">
        <f t="shared" si="42"/>
        <v>40000</v>
      </c>
      <c r="G32" s="340"/>
      <c r="H32" s="341" t="str">
        <f t="shared" si="31"/>
        <v/>
      </c>
      <c r="I32" s="341" t="str">
        <f t="shared" si="32"/>
        <v/>
      </c>
      <c r="J32" s="341">
        <f t="shared" si="33"/>
        <v>0</v>
      </c>
      <c r="K32" s="341">
        <f t="shared" si="34"/>
        <v>0.21978142737048006</v>
      </c>
      <c r="L32" s="342">
        <f t="shared" si="35"/>
        <v>0.1623521580660611</v>
      </c>
      <c r="N32" s="341" t="str">
        <f t="shared" si="21"/>
        <v/>
      </c>
      <c r="O32" s="341" t="str">
        <f t="shared" si="22"/>
        <v/>
      </c>
      <c r="P32" s="341" t="str">
        <f t="shared" si="23"/>
        <v/>
      </c>
      <c r="Q32" s="342" t="str">
        <f t="shared" si="24"/>
        <v/>
      </c>
      <c r="R32" s="346"/>
      <c r="S32" s="347"/>
      <c r="T32" s="348">
        <f>B32-C32</f>
        <v>0</v>
      </c>
      <c r="U32" s="348">
        <f t="shared" si="37"/>
        <v>0</v>
      </c>
      <c r="V32" s="348">
        <f t="shared" si="38"/>
        <v>-40000</v>
      </c>
      <c r="W32" s="348">
        <f t="shared" si="39"/>
        <v>0</v>
      </c>
      <c r="X32" s="476"/>
      <c r="Y32" s="346"/>
      <c r="Z32" s="346"/>
      <c r="AA32" s="346"/>
      <c r="AB32" s="346"/>
    </row>
    <row r="33" spans="1:28" x14ac:dyDescent="0.3">
      <c r="A33" s="355" t="s">
        <v>364</v>
      </c>
      <c r="B33" s="377"/>
      <c r="C33" s="377"/>
      <c r="D33" s="377"/>
      <c r="E33" s="377"/>
      <c r="F33" s="378"/>
      <c r="G33" s="37"/>
      <c r="H33" s="329" t="str">
        <f t="shared" si="31"/>
        <v/>
      </c>
      <c r="I33" s="329" t="str">
        <f t="shared" si="32"/>
        <v/>
      </c>
      <c r="J33" s="329">
        <f t="shared" si="33"/>
        <v>0</v>
      </c>
      <c r="K33" s="329">
        <f t="shared" si="34"/>
        <v>0</v>
      </c>
      <c r="L33" s="99">
        <f t="shared" si="35"/>
        <v>0</v>
      </c>
      <c r="N33" s="329" t="str">
        <f t="shared" si="21"/>
        <v/>
      </c>
      <c r="O33" s="329" t="str">
        <f t="shared" si="22"/>
        <v/>
      </c>
      <c r="P33" s="329" t="str">
        <f t="shared" si="23"/>
        <v/>
      </c>
      <c r="Q33" s="99" t="str">
        <f t="shared" si="24"/>
        <v/>
      </c>
      <c r="S33" s="334"/>
      <c r="T33" s="330">
        <f t="shared" si="36"/>
        <v>0</v>
      </c>
      <c r="U33" s="330">
        <f t="shared" si="37"/>
        <v>0</v>
      </c>
      <c r="V33" s="330">
        <f t="shared" si="38"/>
        <v>0</v>
      </c>
      <c r="W33" s="330">
        <f t="shared" si="39"/>
        <v>0</v>
      </c>
    </row>
    <row r="34" spans="1:28" x14ac:dyDescent="0.3">
      <c r="A34" s="355" t="s">
        <v>192</v>
      </c>
      <c r="B34" s="377"/>
      <c r="C34" s="377"/>
      <c r="D34" s="377"/>
      <c r="E34" s="377"/>
      <c r="F34" s="378"/>
      <c r="G34" s="37"/>
      <c r="H34" s="329" t="str">
        <f t="shared" si="31"/>
        <v/>
      </c>
      <c r="I34" s="329" t="str">
        <f t="shared" si="32"/>
        <v/>
      </c>
      <c r="J34" s="329">
        <f t="shared" si="33"/>
        <v>0</v>
      </c>
      <c r="K34" s="329">
        <f t="shared" si="34"/>
        <v>0</v>
      </c>
      <c r="L34" s="99">
        <f t="shared" si="35"/>
        <v>0</v>
      </c>
      <c r="N34" s="329" t="str">
        <f t="shared" si="21"/>
        <v/>
      </c>
      <c r="O34" s="329" t="str">
        <f t="shared" si="22"/>
        <v/>
      </c>
      <c r="P34" s="329" t="str">
        <f t="shared" si="23"/>
        <v/>
      </c>
      <c r="Q34" s="99" t="str">
        <f t="shared" si="24"/>
        <v/>
      </c>
      <c r="S34" s="334"/>
      <c r="T34" s="330">
        <f t="shared" si="36"/>
        <v>0</v>
      </c>
      <c r="U34" s="330">
        <f t="shared" si="37"/>
        <v>0</v>
      </c>
      <c r="V34" s="330">
        <f t="shared" si="38"/>
        <v>0</v>
      </c>
      <c r="W34" s="330">
        <f t="shared" si="39"/>
        <v>0</v>
      </c>
    </row>
    <row r="35" spans="1:28" x14ac:dyDescent="0.3">
      <c r="A35" s="355" t="s">
        <v>193</v>
      </c>
      <c r="B35" s="377"/>
      <c r="C35" s="377"/>
      <c r="D35" s="377"/>
      <c r="E35" s="377"/>
      <c r="F35" s="378"/>
      <c r="G35" s="37"/>
      <c r="H35" s="329" t="str">
        <f t="shared" si="31"/>
        <v/>
      </c>
      <c r="I35" s="329" t="str">
        <f t="shared" si="32"/>
        <v/>
      </c>
      <c r="J35" s="329">
        <f t="shared" si="33"/>
        <v>0</v>
      </c>
      <c r="K35" s="329">
        <f t="shared" si="34"/>
        <v>0</v>
      </c>
      <c r="L35" s="99">
        <f t="shared" si="35"/>
        <v>0</v>
      </c>
      <c r="N35" s="329" t="str">
        <f t="shared" si="21"/>
        <v/>
      </c>
      <c r="O35" s="329" t="str">
        <f t="shared" si="22"/>
        <v/>
      </c>
      <c r="P35" s="329" t="str">
        <f t="shared" si="23"/>
        <v/>
      </c>
      <c r="Q35" s="99" t="str">
        <f t="shared" si="24"/>
        <v/>
      </c>
      <c r="S35" s="334"/>
      <c r="T35" s="330">
        <f t="shared" si="36"/>
        <v>0</v>
      </c>
      <c r="U35" s="330">
        <f t="shared" si="37"/>
        <v>0</v>
      </c>
      <c r="V35" s="330">
        <f t="shared" si="38"/>
        <v>0</v>
      </c>
      <c r="W35" s="330">
        <f t="shared" si="39"/>
        <v>0</v>
      </c>
    </row>
    <row r="36" spans="1:28" x14ac:dyDescent="0.3">
      <c r="A36" s="355" t="s">
        <v>194</v>
      </c>
      <c r="B36" s="377"/>
      <c r="C36" s="377"/>
      <c r="D36" s="377"/>
      <c r="E36" s="377"/>
      <c r="F36" s="378"/>
      <c r="G36" s="37"/>
      <c r="H36" s="329" t="str">
        <f t="shared" si="31"/>
        <v/>
      </c>
      <c r="I36" s="329" t="str">
        <f t="shared" si="32"/>
        <v/>
      </c>
      <c r="J36" s="329">
        <f t="shared" si="33"/>
        <v>0</v>
      </c>
      <c r="K36" s="329">
        <f t="shared" si="34"/>
        <v>0</v>
      </c>
      <c r="L36" s="99">
        <f t="shared" si="35"/>
        <v>0</v>
      </c>
      <c r="N36" s="329" t="str">
        <f t="shared" si="21"/>
        <v/>
      </c>
      <c r="O36" s="329" t="str">
        <f t="shared" si="22"/>
        <v/>
      </c>
      <c r="P36" s="329" t="str">
        <f t="shared" si="23"/>
        <v/>
      </c>
      <c r="Q36" s="99" t="str">
        <f t="shared" si="24"/>
        <v/>
      </c>
      <c r="S36" s="334"/>
      <c r="T36" s="330">
        <f t="shared" si="36"/>
        <v>0</v>
      </c>
      <c r="U36" s="330">
        <f t="shared" si="37"/>
        <v>0</v>
      </c>
      <c r="V36" s="330">
        <f t="shared" si="38"/>
        <v>0</v>
      </c>
      <c r="W36" s="330">
        <f t="shared" si="39"/>
        <v>0</v>
      </c>
    </row>
    <row r="37" spans="1:28" x14ac:dyDescent="0.3">
      <c r="A37" s="355" t="s">
        <v>195</v>
      </c>
      <c r="B37" s="377"/>
      <c r="C37" s="377"/>
      <c r="D37" s="377"/>
      <c r="E37" s="377"/>
      <c r="F37" s="378"/>
      <c r="G37" s="37"/>
      <c r="H37" s="329" t="str">
        <f t="shared" si="31"/>
        <v/>
      </c>
      <c r="I37" s="329" t="str">
        <f t="shared" si="32"/>
        <v/>
      </c>
      <c r="J37" s="329">
        <f t="shared" si="33"/>
        <v>0</v>
      </c>
      <c r="K37" s="329">
        <f t="shared" si="34"/>
        <v>0</v>
      </c>
      <c r="L37" s="99">
        <f t="shared" si="35"/>
        <v>0</v>
      </c>
      <c r="N37" s="329" t="str">
        <f t="shared" si="21"/>
        <v/>
      </c>
      <c r="O37" s="329" t="str">
        <f t="shared" si="22"/>
        <v/>
      </c>
      <c r="P37" s="329" t="str">
        <f t="shared" si="23"/>
        <v/>
      </c>
      <c r="Q37" s="99" t="str">
        <f t="shared" si="24"/>
        <v/>
      </c>
      <c r="S37" s="334"/>
      <c r="T37" s="330">
        <f>B37-C37</f>
        <v>0</v>
      </c>
      <c r="U37" s="330">
        <f t="shared" si="37"/>
        <v>0</v>
      </c>
      <c r="V37" s="330">
        <f t="shared" si="38"/>
        <v>0</v>
      </c>
      <c r="W37" s="330">
        <f t="shared" si="39"/>
        <v>0</v>
      </c>
    </row>
    <row r="38" spans="1:28" x14ac:dyDescent="0.3">
      <c r="A38" s="355" t="s">
        <v>196</v>
      </c>
      <c r="B38" s="377"/>
      <c r="C38" s="377"/>
      <c r="D38" s="377"/>
      <c r="E38" s="377"/>
      <c r="F38" s="378"/>
      <c r="G38" s="37"/>
      <c r="H38" s="329" t="str">
        <f t="shared" si="31"/>
        <v/>
      </c>
      <c r="I38" s="329" t="str">
        <f t="shared" si="32"/>
        <v/>
      </c>
      <c r="J38" s="329">
        <f t="shared" si="33"/>
        <v>0</v>
      </c>
      <c r="K38" s="329">
        <f t="shared" si="34"/>
        <v>0</v>
      </c>
      <c r="L38" s="99">
        <f t="shared" si="35"/>
        <v>0</v>
      </c>
      <c r="N38" s="329" t="str">
        <f t="shared" si="21"/>
        <v/>
      </c>
      <c r="O38" s="329" t="str">
        <f t="shared" si="22"/>
        <v/>
      </c>
      <c r="P38" s="329" t="str">
        <f t="shared" si="23"/>
        <v/>
      </c>
      <c r="Q38" s="99" t="str">
        <f t="shared" si="24"/>
        <v/>
      </c>
      <c r="S38" s="334"/>
      <c r="T38" s="330">
        <f t="shared" si="36"/>
        <v>0</v>
      </c>
      <c r="U38" s="330">
        <f t="shared" si="37"/>
        <v>0</v>
      </c>
      <c r="V38" s="330">
        <f t="shared" si="38"/>
        <v>0</v>
      </c>
      <c r="W38" s="330">
        <f t="shared" si="39"/>
        <v>0</v>
      </c>
    </row>
    <row r="39" spans="1:28" x14ac:dyDescent="0.3">
      <c r="A39" s="355" t="s">
        <v>197</v>
      </c>
      <c r="B39" s="377"/>
      <c r="C39" s="377"/>
      <c r="D39" s="377"/>
      <c r="E39" s="377"/>
      <c r="F39" s="378"/>
      <c r="G39" s="37"/>
      <c r="H39" s="329" t="str">
        <f t="shared" si="31"/>
        <v/>
      </c>
      <c r="I39" s="329" t="str">
        <f t="shared" si="32"/>
        <v/>
      </c>
      <c r="J39" s="329">
        <f t="shared" si="33"/>
        <v>0</v>
      </c>
      <c r="K39" s="329">
        <f t="shared" si="34"/>
        <v>0</v>
      </c>
      <c r="L39" s="99">
        <f t="shared" si="35"/>
        <v>0</v>
      </c>
      <c r="N39" s="329" t="str">
        <f t="shared" si="21"/>
        <v/>
      </c>
      <c r="O39" s="329" t="str">
        <f t="shared" si="22"/>
        <v/>
      </c>
      <c r="P39" s="329" t="str">
        <f t="shared" si="23"/>
        <v/>
      </c>
      <c r="Q39" s="99" t="str">
        <f t="shared" si="24"/>
        <v/>
      </c>
      <c r="S39" s="334"/>
      <c r="T39" s="330">
        <f t="shared" si="36"/>
        <v>0</v>
      </c>
      <c r="U39" s="330">
        <f t="shared" si="37"/>
        <v>0</v>
      </c>
      <c r="V39" s="330">
        <f t="shared" si="38"/>
        <v>0</v>
      </c>
      <c r="W39" s="330">
        <f t="shared" si="39"/>
        <v>0</v>
      </c>
    </row>
    <row r="40" spans="1:28" s="343" customFormat="1" ht="15" thickBot="1" x14ac:dyDescent="0.35">
      <c r="A40" s="349" t="s">
        <v>198</v>
      </c>
      <c r="B40" s="350">
        <f>SUM(B33:B39)+B32</f>
        <v>0</v>
      </c>
      <c r="C40" s="350">
        <f t="shared" ref="C40:E40" si="43">SUM(C33:C39)+C32</f>
        <v>0</v>
      </c>
      <c r="D40" s="350">
        <f t="shared" si="43"/>
        <v>0</v>
      </c>
      <c r="E40" s="350">
        <f t="shared" si="43"/>
        <v>40000</v>
      </c>
      <c r="F40" s="356">
        <f>SUM(F33:F39)+F32</f>
        <v>40000</v>
      </c>
      <c r="G40" s="340"/>
      <c r="H40" s="351" t="str">
        <f t="shared" si="31"/>
        <v/>
      </c>
      <c r="I40" s="351" t="str">
        <f t="shared" si="32"/>
        <v/>
      </c>
      <c r="J40" s="351">
        <f t="shared" si="33"/>
        <v>0</v>
      </c>
      <c r="K40" s="351">
        <f t="shared" si="34"/>
        <v>0.21978142737048006</v>
      </c>
      <c r="L40" s="352">
        <f t="shared" si="35"/>
        <v>0.1623521580660611</v>
      </c>
      <c r="N40" s="351" t="str">
        <f t="shared" si="21"/>
        <v/>
      </c>
      <c r="O40" s="351" t="str">
        <f t="shared" si="22"/>
        <v/>
      </c>
      <c r="P40" s="351" t="str">
        <f t="shared" si="23"/>
        <v/>
      </c>
      <c r="Q40" s="352" t="str">
        <f t="shared" si="24"/>
        <v/>
      </c>
      <c r="R40" s="346"/>
      <c r="S40" s="347"/>
      <c r="T40" s="348">
        <f t="shared" si="36"/>
        <v>0</v>
      </c>
      <c r="U40" s="348">
        <f t="shared" si="37"/>
        <v>0</v>
      </c>
      <c r="V40" s="348">
        <f t="shared" si="38"/>
        <v>-40000</v>
      </c>
      <c r="W40" s="348">
        <f t="shared" si="39"/>
        <v>0</v>
      </c>
      <c r="X40" s="476"/>
      <c r="Y40" s="346"/>
      <c r="Z40" s="346"/>
      <c r="AA40" s="346"/>
      <c r="AB40" s="346"/>
    </row>
    <row r="41" spans="1:28" ht="15" thickTop="1" x14ac:dyDescent="0.3">
      <c r="A41" s="37"/>
      <c r="B41" s="332"/>
      <c r="C41" s="332"/>
      <c r="D41" s="332"/>
      <c r="E41" s="332"/>
      <c r="F41" s="333"/>
      <c r="G41" s="37"/>
      <c r="H41" s="329"/>
      <c r="I41" s="329"/>
      <c r="J41" s="329"/>
      <c r="K41" s="329"/>
      <c r="L41" s="99"/>
      <c r="N41" s="329"/>
      <c r="O41" s="329"/>
      <c r="P41" s="329"/>
      <c r="Q41" s="99"/>
      <c r="S41" s="334"/>
      <c r="T41" s="330"/>
      <c r="U41" s="330"/>
      <c r="V41" s="330"/>
      <c r="W41" s="330"/>
    </row>
    <row r="42" spans="1:28" s="343" customFormat="1" ht="15" thickBot="1" x14ac:dyDescent="0.35">
      <c r="A42" s="357" t="s">
        <v>144</v>
      </c>
      <c r="B42" s="358">
        <f>B23+B40</f>
        <v>0</v>
      </c>
      <c r="C42" s="358">
        <f t="shared" ref="C42:F42" si="44">C23+C40</f>
        <v>0</v>
      </c>
      <c r="D42" s="358">
        <f t="shared" si="44"/>
        <v>46186</v>
      </c>
      <c r="E42" s="358">
        <f t="shared" si="44"/>
        <v>181999</v>
      </c>
      <c r="F42" s="359">
        <f t="shared" si="44"/>
        <v>246378</v>
      </c>
      <c r="G42" s="340"/>
      <c r="H42" s="360" t="str">
        <f>IFERROR(B42/B$42,"")</f>
        <v/>
      </c>
      <c r="I42" s="360" t="str">
        <f t="shared" ref="I42" si="45">IFERROR(C42/C$42,"")</f>
        <v/>
      </c>
      <c r="J42" s="360">
        <f t="shared" ref="J42" si="46">IFERROR(D42/D$42,"")</f>
        <v>1</v>
      </c>
      <c r="K42" s="360">
        <f t="shared" ref="K42" si="47">IFERROR(E42/E$42,"")</f>
        <v>1</v>
      </c>
      <c r="L42" s="361">
        <f t="shared" ref="L42" si="48">IFERROR(F42/F$42,"")</f>
        <v>1</v>
      </c>
      <c r="N42" s="360" t="str">
        <f t="shared" si="21"/>
        <v/>
      </c>
      <c r="O42" s="360" t="str">
        <f t="shared" si="22"/>
        <v/>
      </c>
      <c r="P42" s="360">
        <f t="shared" si="23"/>
        <v>2.9405664054042351</v>
      </c>
      <c r="Q42" s="361" t="str">
        <f t="shared" si="24"/>
        <v/>
      </c>
      <c r="R42" s="346"/>
      <c r="S42" s="347"/>
      <c r="T42" s="348">
        <f t="shared" ref="T42:T76" si="49">C42-B42</f>
        <v>0</v>
      </c>
      <c r="U42" s="348">
        <f t="shared" ref="U42:U76" si="50">D42-C42</f>
        <v>46186</v>
      </c>
      <c r="V42" s="348">
        <f t="shared" ref="V42:V76" si="51">E42-D42</f>
        <v>135813</v>
      </c>
      <c r="W42" s="348">
        <f t="shared" ref="W42:W76" si="52">F42-E42</f>
        <v>64379</v>
      </c>
      <c r="X42" s="476"/>
      <c r="Y42" s="346"/>
      <c r="Z42" s="346"/>
      <c r="AA42" s="346"/>
      <c r="AB42" s="346"/>
    </row>
    <row r="43" spans="1:28" x14ac:dyDescent="0.3">
      <c r="A43" s="362"/>
      <c r="B43" s="363"/>
      <c r="C43" s="363"/>
      <c r="D43" s="363"/>
      <c r="E43" s="363"/>
      <c r="F43" s="364"/>
      <c r="G43" s="37"/>
      <c r="H43" s="329"/>
      <c r="I43" s="329"/>
      <c r="J43" s="329"/>
      <c r="K43" s="329"/>
      <c r="L43" s="99"/>
      <c r="N43" s="329"/>
      <c r="O43" s="329"/>
      <c r="P43" s="329"/>
      <c r="Q43" s="99"/>
      <c r="S43" s="334"/>
      <c r="T43" s="330"/>
      <c r="U43" s="330"/>
      <c r="V43" s="330"/>
      <c r="W43" s="330"/>
    </row>
    <row r="44" spans="1:28" x14ac:dyDescent="0.3">
      <c r="A44" s="325" t="s">
        <v>216</v>
      </c>
      <c r="B44" s="363"/>
      <c r="C44" s="363"/>
      <c r="D44" s="363"/>
      <c r="E44" s="363"/>
      <c r="F44" s="364"/>
      <c r="G44" s="37"/>
      <c r="H44" s="329"/>
      <c r="I44" s="329"/>
      <c r="J44" s="329"/>
      <c r="K44" s="329"/>
      <c r="L44" s="99"/>
      <c r="N44" s="329"/>
      <c r="O44" s="329"/>
      <c r="P44" s="329"/>
      <c r="Q44" s="99"/>
      <c r="S44" s="477"/>
      <c r="T44" s="330"/>
      <c r="U44" s="330"/>
      <c r="V44" s="330"/>
      <c r="W44" s="330"/>
    </row>
    <row r="45" spans="1:28" x14ac:dyDescent="0.3">
      <c r="A45" s="328" t="s">
        <v>210</v>
      </c>
      <c r="B45" s="365"/>
      <c r="C45" s="365"/>
      <c r="D45" s="365"/>
      <c r="E45" s="365"/>
      <c r="F45" s="366"/>
      <c r="H45" s="329"/>
      <c r="I45" s="329"/>
      <c r="J45" s="329"/>
      <c r="K45" s="329"/>
      <c r="L45" s="99"/>
      <c r="N45" s="329"/>
      <c r="O45" s="329"/>
      <c r="P45" s="329"/>
      <c r="Q45" s="99"/>
      <c r="S45" s="334"/>
      <c r="T45" s="330"/>
      <c r="U45" s="330"/>
      <c r="V45" s="330"/>
      <c r="W45" s="330"/>
    </row>
    <row r="46" spans="1:28" x14ac:dyDescent="0.3">
      <c r="A46" s="331" t="s">
        <v>214</v>
      </c>
      <c r="B46" s="379"/>
      <c r="C46" s="379"/>
      <c r="D46" s="379">
        <v>21894</v>
      </c>
      <c r="E46" s="379">
        <v>100476</v>
      </c>
      <c r="F46" s="378">
        <v>125655</v>
      </c>
      <c r="H46" s="329" t="str">
        <f t="shared" ref="H46:H55" si="53">IFERROR(B46/B$42,"")</f>
        <v/>
      </c>
      <c r="I46" s="329" t="str">
        <f t="shared" ref="I46:I55" si="54">IFERROR(C46/C$42,"")</f>
        <v/>
      </c>
      <c r="J46" s="329">
        <f t="shared" ref="J46:J55" si="55">IFERROR(D46/D$42,"")</f>
        <v>0.47403975230589357</v>
      </c>
      <c r="K46" s="329">
        <f t="shared" ref="K46:K55" si="56">IFERROR(E46/E$42,"")</f>
        <v>0.55206896741190881</v>
      </c>
      <c r="L46" s="99">
        <f t="shared" ref="L46:L55" si="57">IFERROR(F46/F$42,"")</f>
        <v>0.51000901054477266</v>
      </c>
      <c r="N46" s="329" t="str">
        <f t="shared" si="21"/>
        <v/>
      </c>
      <c r="O46" s="329" t="str">
        <f t="shared" si="22"/>
        <v/>
      </c>
      <c r="P46" s="329">
        <f t="shared" si="23"/>
        <v>3.5892025212386951</v>
      </c>
      <c r="Q46" s="99" t="str">
        <f t="shared" si="24"/>
        <v/>
      </c>
      <c r="S46" s="334"/>
      <c r="T46" s="330">
        <f t="shared" si="49"/>
        <v>0</v>
      </c>
      <c r="U46" s="330">
        <f t="shared" si="50"/>
        <v>21894</v>
      </c>
      <c r="V46" s="330">
        <f t="shared" si="51"/>
        <v>78582</v>
      </c>
      <c r="W46" s="330">
        <f t="shared" si="52"/>
        <v>25179</v>
      </c>
    </row>
    <row r="47" spans="1:28" x14ac:dyDescent="0.3">
      <c r="A47" s="331" t="s">
        <v>211</v>
      </c>
      <c r="B47" s="379"/>
      <c r="C47" s="379"/>
      <c r="D47" s="379"/>
      <c r="E47" s="379"/>
      <c r="F47" s="378"/>
      <c r="H47" s="329" t="str">
        <f t="shared" si="53"/>
        <v/>
      </c>
      <c r="I47" s="329" t="str">
        <f t="shared" si="54"/>
        <v/>
      </c>
      <c r="J47" s="329">
        <f t="shared" si="55"/>
        <v>0</v>
      </c>
      <c r="K47" s="329">
        <f t="shared" si="56"/>
        <v>0</v>
      </c>
      <c r="L47" s="99">
        <f t="shared" si="57"/>
        <v>0</v>
      </c>
      <c r="N47" s="329" t="str">
        <f t="shared" si="21"/>
        <v/>
      </c>
      <c r="O47" s="329" t="str">
        <f t="shared" si="22"/>
        <v/>
      </c>
      <c r="P47" s="329" t="str">
        <f t="shared" si="23"/>
        <v/>
      </c>
      <c r="Q47" s="99" t="str">
        <f t="shared" si="24"/>
        <v/>
      </c>
      <c r="S47" s="334"/>
      <c r="T47" s="330">
        <f>C47-B47</f>
        <v>0</v>
      </c>
      <c r="U47" s="330">
        <f t="shared" si="50"/>
        <v>0</v>
      </c>
      <c r="V47" s="330">
        <f t="shared" si="51"/>
        <v>0</v>
      </c>
      <c r="W47" s="330">
        <f t="shared" si="52"/>
        <v>0</v>
      </c>
    </row>
    <row r="48" spans="1:28" x14ac:dyDescent="0.3">
      <c r="A48" s="331" t="s">
        <v>340</v>
      </c>
      <c r="B48" s="379"/>
      <c r="C48" s="379"/>
      <c r="D48" s="379"/>
      <c r="E48" s="379"/>
      <c r="F48" s="378"/>
      <c r="H48" s="329" t="str">
        <f t="shared" ref="H48" si="58">IFERROR(B48/B$42,"")</f>
        <v/>
      </c>
      <c r="I48" s="329" t="str">
        <f t="shared" ref="I48" si="59">IFERROR(C48/C$42,"")</f>
        <v/>
      </c>
      <c r="J48" s="329">
        <f t="shared" ref="J48" si="60">IFERROR(D48/D$42,"")</f>
        <v>0</v>
      </c>
      <c r="K48" s="329">
        <f t="shared" ref="K48" si="61">IFERROR(E48/E$42,"")</f>
        <v>0</v>
      </c>
      <c r="L48" s="99"/>
      <c r="N48" s="329" t="str">
        <f t="shared" si="21"/>
        <v/>
      </c>
      <c r="O48" s="329" t="str">
        <f t="shared" si="22"/>
        <v/>
      </c>
      <c r="P48" s="329" t="str">
        <f t="shared" si="23"/>
        <v/>
      </c>
      <c r="Q48" s="99" t="str">
        <f t="shared" si="24"/>
        <v/>
      </c>
      <c r="S48" s="334"/>
      <c r="T48" s="330">
        <f>C48-B48</f>
        <v>0</v>
      </c>
      <c r="U48" s="330">
        <f t="shared" ref="U48" si="62">D48-C48</f>
        <v>0</v>
      </c>
      <c r="V48" s="330">
        <f t="shared" ref="V48" si="63">E48-D48</f>
        <v>0</v>
      </c>
      <c r="W48" s="330">
        <f t="shared" ref="W48" si="64">F48-E48</f>
        <v>0</v>
      </c>
    </row>
    <row r="49" spans="1:28" x14ac:dyDescent="0.3">
      <c r="A49" s="331" t="s">
        <v>341</v>
      </c>
      <c r="B49" s="379"/>
      <c r="C49" s="379"/>
      <c r="D49" s="379">
        <v>14852</v>
      </c>
      <c r="E49" s="379">
        <v>46305</v>
      </c>
      <c r="F49" s="378">
        <v>58639</v>
      </c>
      <c r="H49" s="329" t="str">
        <f t="shared" si="53"/>
        <v/>
      </c>
      <c r="I49" s="329" t="str">
        <f t="shared" si="54"/>
        <v/>
      </c>
      <c r="J49" s="329">
        <f t="shared" si="55"/>
        <v>0.32156930671632095</v>
      </c>
      <c r="K49" s="329">
        <f t="shared" si="56"/>
        <v>0.254424474859752</v>
      </c>
      <c r="L49" s="99">
        <f t="shared" si="57"/>
        <v>0.23800420492089391</v>
      </c>
      <c r="N49" s="329" t="str">
        <f t="shared" si="21"/>
        <v/>
      </c>
      <c r="O49" s="329" t="str">
        <f t="shared" si="22"/>
        <v/>
      </c>
      <c r="P49" s="329">
        <f t="shared" si="23"/>
        <v>2.1177619175868569</v>
      </c>
      <c r="Q49" s="99" t="str">
        <f t="shared" si="24"/>
        <v/>
      </c>
      <c r="S49" s="334"/>
      <c r="T49" s="330">
        <f t="shared" si="49"/>
        <v>0</v>
      </c>
      <c r="U49" s="330">
        <f t="shared" si="50"/>
        <v>14852</v>
      </c>
      <c r="V49" s="330">
        <f t="shared" si="51"/>
        <v>31453</v>
      </c>
      <c r="W49" s="330">
        <f t="shared" si="52"/>
        <v>12334</v>
      </c>
    </row>
    <row r="50" spans="1:28" x14ac:dyDescent="0.3">
      <c r="A50" s="331" t="s">
        <v>145</v>
      </c>
      <c r="B50" s="379"/>
      <c r="C50" s="379"/>
      <c r="D50" s="379"/>
      <c r="E50" s="379"/>
      <c r="F50" s="378"/>
      <c r="H50" s="329" t="str">
        <f t="shared" si="53"/>
        <v/>
      </c>
      <c r="I50" s="329" t="str">
        <f t="shared" si="54"/>
        <v/>
      </c>
      <c r="J50" s="329">
        <f t="shared" si="55"/>
        <v>0</v>
      </c>
      <c r="K50" s="329">
        <f t="shared" si="56"/>
        <v>0</v>
      </c>
      <c r="L50" s="99">
        <f t="shared" si="57"/>
        <v>0</v>
      </c>
      <c r="N50" s="329" t="str">
        <f t="shared" si="21"/>
        <v/>
      </c>
      <c r="O50" s="329" t="str">
        <f t="shared" si="22"/>
        <v/>
      </c>
      <c r="P50" s="329" t="str">
        <f t="shared" si="23"/>
        <v/>
      </c>
      <c r="Q50" s="99" t="str">
        <f t="shared" si="24"/>
        <v/>
      </c>
      <c r="S50" s="334"/>
      <c r="T50" s="330">
        <f t="shared" si="49"/>
        <v>0</v>
      </c>
      <c r="U50" s="330">
        <f t="shared" si="50"/>
        <v>0</v>
      </c>
      <c r="V50" s="330">
        <f t="shared" si="51"/>
        <v>0</v>
      </c>
      <c r="W50" s="330">
        <f t="shared" si="52"/>
        <v>0</v>
      </c>
    </row>
    <row r="51" spans="1:28" x14ac:dyDescent="0.3">
      <c r="A51" s="331" t="s">
        <v>342</v>
      </c>
      <c r="B51" s="379"/>
      <c r="C51" s="379"/>
      <c r="D51" s="379">
        <v>809</v>
      </c>
      <c r="E51" s="379">
        <v>856</v>
      </c>
      <c r="F51" s="378">
        <v>856</v>
      </c>
      <c r="H51" s="329" t="str">
        <f t="shared" si="53"/>
        <v/>
      </c>
      <c r="I51" s="329" t="str">
        <f t="shared" si="54"/>
        <v/>
      </c>
      <c r="J51" s="329">
        <f t="shared" si="55"/>
        <v>1.7516130429134368E-2</v>
      </c>
      <c r="K51" s="329">
        <f t="shared" si="56"/>
        <v>4.7033225457282736E-3</v>
      </c>
      <c r="L51" s="99">
        <f t="shared" si="57"/>
        <v>3.4743361826137073E-3</v>
      </c>
      <c r="N51" s="329" t="str">
        <f t="shared" si="21"/>
        <v/>
      </c>
      <c r="O51" s="329" t="str">
        <f t="shared" si="22"/>
        <v/>
      </c>
      <c r="P51" s="329">
        <f t="shared" si="23"/>
        <v>5.8096415327564932E-2</v>
      </c>
      <c r="Q51" s="99" t="str">
        <f t="shared" si="24"/>
        <v/>
      </c>
      <c r="S51" s="334"/>
      <c r="T51" s="330">
        <f t="shared" si="49"/>
        <v>0</v>
      </c>
      <c r="U51" s="330">
        <f t="shared" si="50"/>
        <v>809</v>
      </c>
      <c r="V51" s="330">
        <f t="shared" si="51"/>
        <v>47</v>
      </c>
      <c r="W51" s="330">
        <f t="shared" si="52"/>
        <v>0</v>
      </c>
    </row>
    <row r="52" spans="1:28" x14ac:dyDescent="0.3">
      <c r="A52" s="331" t="s">
        <v>245</v>
      </c>
      <c r="B52" s="379"/>
      <c r="C52" s="379"/>
      <c r="D52" s="379"/>
      <c r="E52" s="379"/>
      <c r="F52" s="378"/>
      <c r="H52" s="329" t="str">
        <f t="shared" si="53"/>
        <v/>
      </c>
      <c r="I52" s="329" t="str">
        <f t="shared" si="54"/>
        <v/>
      </c>
      <c r="J52" s="329">
        <f t="shared" si="55"/>
        <v>0</v>
      </c>
      <c r="K52" s="329">
        <f t="shared" si="56"/>
        <v>0</v>
      </c>
      <c r="L52" s="99">
        <f t="shared" si="57"/>
        <v>0</v>
      </c>
      <c r="N52" s="329" t="str">
        <f t="shared" si="21"/>
        <v/>
      </c>
      <c r="O52" s="329" t="str">
        <f t="shared" si="22"/>
        <v/>
      </c>
      <c r="P52" s="329" t="str">
        <f t="shared" si="23"/>
        <v/>
      </c>
      <c r="Q52" s="99" t="str">
        <f t="shared" si="24"/>
        <v/>
      </c>
      <c r="S52" s="334"/>
      <c r="T52" s="330">
        <f t="shared" si="49"/>
        <v>0</v>
      </c>
      <c r="U52" s="330">
        <f t="shared" si="50"/>
        <v>0</v>
      </c>
      <c r="V52" s="330">
        <f t="shared" si="51"/>
        <v>0</v>
      </c>
      <c r="W52" s="330">
        <f t="shared" si="52"/>
        <v>0</v>
      </c>
    </row>
    <row r="53" spans="1:28" x14ac:dyDescent="0.3">
      <c r="A53" s="331" t="s">
        <v>212</v>
      </c>
      <c r="B53" s="379"/>
      <c r="C53" s="379"/>
      <c r="D53" s="379">
        <v>60</v>
      </c>
      <c r="E53" s="379">
        <v>1653</v>
      </c>
      <c r="F53" s="378">
        <v>1653</v>
      </c>
      <c r="H53" s="329" t="str">
        <f t="shared" si="53"/>
        <v/>
      </c>
      <c r="I53" s="329" t="str">
        <f t="shared" si="54"/>
        <v/>
      </c>
      <c r="J53" s="329">
        <f t="shared" si="55"/>
        <v>1.2990949638418568E-3</v>
      </c>
      <c r="K53" s="329">
        <f t="shared" si="56"/>
        <v>9.0824674860850892E-3</v>
      </c>
      <c r="L53" s="99">
        <f t="shared" si="57"/>
        <v>6.7092029320799749E-3</v>
      </c>
      <c r="N53" s="329" t="str">
        <f t="shared" si="21"/>
        <v/>
      </c>
      <c r="O53" s="329" t="str">
        <f t="shared" si="22"/>
        <v/>
      </c>
      <c r="P53" s="329">
        <f t="shared" si="23"/>
        <v>26.55</v>
      </c>
      <c r="Q53" s="99" t="str">
        <f t="shared" si="24"/>
        <v/>
      </c>
      <c r="S53" s="334"/>
      <c r="T53" s="330">
        <f t="shared" si="49"/>
        <v>0</v>
      </c>
      <c r="U53" s="330">
        <f t="shared" si="50"/>
        <v>60</v>
      </c>
      <c r="V53" s="330">
        <f t="shared" si="51"/>
        <v>1593</v>
      </c>
      <c r="W53" s="330">
        <f t="shared" si="52"/>
        <v>0</v>
      </c>
    </row>
    <row r="54" spans="1:28" x14ac:dyDescent="0.3">
      <c r="A54" s="331" t="s">
        <v>213</v>
      </c>
      <c r="B54" s="379"/>
      <c r="C54" s="379"/>
      <c r="D54" s="379"/>
      <c r="E54" s="379"/>
      <c r="F54" s="378"/>
      <c r="H54" s="329" t="str">
        <f t="shared" si="53"/>
        <v/>
      </c>
      <c r="I54" s="329" t="str">
        <f t="shared" si="54"/>
        <v/>
      </c>
      <c r="J54" s="329">
        <f t="shared" si="55"/>
        <v>0</v>
      </c>
      <c r="K54" s="329">
        <f t="shared" si="56"/>
        <v>0</v>
      </c>
      <c r="L54" s="99">
        <f t="shared" si="57"/>
        <v>0</v>
      </c>
      <c r="N54" s="329" t="str">
        <f t="shared" si="21"/>
        <v/>
      </c>
      <c r="O54" s="329" t="str">
        <f t="shared" si="22"/>
        <v/>
      </c>
      <c r="P54" s="329" t="str">
        <f t="shared" si="23"/>
        <v/>
      </c>
      <c r="Q54" s="99" t="str">
        <f t="shared" si="24"/>
        <v/>
      </c>
      <c r="S54" s="334"/>
      <c r="T54" s="330">
        <f t="shared" si="49"/>
        <v>0</v>
      </c>
      <c r="U54" s="330">
        <f t="shared" si="50"/>
        <v>0</v>
      </c>
      <c r="V54" s="330">
        <f t="shared" si="51"/>
        <v>0</v>
      </c>
      <c r="W54" s="330">
        <f t="shared" si="52"/>
        <v>0</v>
      </c>
    </row>
    <row r="55" spans="1:28" s="343" customFormat="1" ht="15" thickBot="1" x14ac:dyDescent="0.35">
      <c r="A55" s="349" t="s">
        <v>218</v>
      </c>
      <c r="B55" s="367">
        <f>SUM(B46:B54)</f>
        <v>0</v>
      </c>
      <c r="C55" s="367">
        <f t="shared" ref="C55:F55" si="65">SUM(C46:C54)</f>
        <v>0</v>
      </c>
      <c r="D55" s="367">
        <f t="shared" si="65"/>
        <v>37615</v>
      </c>
      <c r="E55" s="367">
        <f t="shared" si="65"/>
        <v>149290</v>
      </c>
      <c r="F55" s="368">
        <f t="shared" si="65"/>
        <v>186803</v>
      </c>
      <c r="H55" s="351" t="str">
        <f t="shared" si="53"/>
        <v/>
      </c>
      <c r="I55" s="351" t="str">
        <f t="shared" si="54"/>
        <v/>
      </c>
      <c r="J55" s="351">
        <f t="shared" si="55"/>
        <v>0.81442428441519077</v>
      </c>
      <c r="K55" s="351">
        <f t="shared" si="56"/>
        <v>0.82027923230347422</v>
      </c>
      <c r="L55" s="352">
        <f t="shared" si="57"/>
        <v>0.75819675458036029</v>
      </c>
      <c r="N55" s="351" t="str">
        <f t="shared" si="21"/>
        <v/>
      </c>
      <c r="O55" s="351" t="str">
        <f t="shared" si="22"/>
        <v/>
      </c>
      <c r="P55" s="351">
        <f t="shared" si="23"/>
        <v>2.9688953874783994</v>
      </c>
      <c r="Q55" s="352" t="str">
        <f t="shared" si="24"/>
        <v/>
      </c>
      <c r="R55" s="346"/>
      <c r="S55" s="347"/>
      <c r="T55" s="348">
        <f>C55-B55</f>
        <v>0</v>
      </c>
      <c r="U55" s="348">
        <f t="shared" si="50"/>
        <v>37615</v>
      </c>
      <c r="V55" s="348">
        <f t="shared" si="51"/>
        <v>111675</v>
      </c>
      <c r="W55" s="348">
        <f t="shared" si="52"/>
        <v>37513</v>
      </c>
      <c r="X55" s="476"/>
      <c r="Y55" s="346"/>
      <c r="Z55" s="346"/>
      <c r="AA55" s="346"/>
      <c r="AB55" s="346"/>
    </row>
    <row r="56" spans="1:28" ht="15" thickTop="1" x14ac:dyDescent="0.3">
      <c r="A56" s="328"/>
      <c r="B56" s="365"/>
      <c r="C56" s="365"/>
      <c r="D56" s="365"/>
      <c r="E56" s="365"/>
      <c r="F56" s="366"/>
      <c r="H56" s="329"/>
      <c r="I56" s="329"/>
      <c r="J56" s="329"/>
      <c r="K56" s="329"/>
      <c r="L56" s="99"/>
      <c r="N56" s="329" t="str">
        <f t="shared" si="21"/>
        <v/>
      </c>
      <c r="O56" s="329" t="str">
        <f t="shared" si="22"/>
        <v/>
      </c>
      <c r="P56" s="329" t="str">
        <f t="shared" si="23"/>
        <v/>
      </c>
      <c r="Q56" s="99" t="str">
        <f t="shared" si="24"/>
        <v/>
      </c>
      <c r="S56" s="334"/>
      <c r="T56" s="330"/>
      <c r="U56" s="330"/>
      <c r="V56" s="330"/>
      <c r="W56" s="330"/>
    </row>
    <row r="57" spans="1:28" x14ac:dyDescent="0.3">
      <c r="A57" s="328" t="s">
        <v>209</v>
      </c>
      <c r="B57" s="365"/>
      <c r="C57" s="365"/>
      <c r="D57" s="365"/>
      <c r="E57" s="365"/>
      <c r="F57" s="366"/>
      <c r="H57" s="329"/>
      <c r="I57" s="329"/>
      <c r="J57" s="329"/>
      <c r="K57" s="329"/>
      <c r="L57" s="99"/>
      <c r="N57" s="329" t="str">
        <f t="shared" si="21"/>
        <v/>
      </c>
      <c r="O57" s="329" t="str">
        <f t="shared" si="22"/>
        <v/>
      </c>
      <c r="P57" s="329" t="str">
        <f t="shared" si="23"/>
        <v/>
      </c>
      <c r="Q57" s="99" t="str">
        <f t="shared" si="24"/>
        <v/>
      </c>
      <c r="S57" s="334"/>
      <c r="T57" s="330">
        <f t="shared" si="49"/>
        <v>0</v>
      </c>
      <c r="U57" s="330">
        <f t="shared" si="50"/>
        <v>0</v>
      </c>
      <c r="V57" s="330">
        <f t="shared" si="51"/>
        <v>0</v>
      </c>
      <c r="W57" s="330">
        <f t="shared" si="52"/>
        <v>0</v>
      </c>
    </row>
    <row r="58" spans="1:28" x14ac:dyDescent="0.3">
      <c r="A58" s="331" t="s">
        <v>343</v>
      </c>
      <c r="B58" s="379"/>
      <c r="C58" s="379"/>
      <c r="D58" s="379"/>
      <c r="E58" s="379"/>
      <c r="F58" s="378"/>
      <c r="H58" s="329" t="str">
        <f t="shared" ref="H58" si="66">IFERROR(B58/B$42,"")</f>
        <v/>
      </c>
      <c r="I58" s="329" t="str">
        <f t="shared" ref="I58" si="67">IFERROR(C58/C$42,"")</f>
        <v/>
      </c>
      <c r="J58" s="329">
        <f t="shared" ref="J58" si="68">IFERROR(D58/D$42,"")</f>
        <v>0</v>
      </c>
      <c r="K58" s="329">
        <f t="shared" ref="K58" si="69">IFERROR(E58/E$42,"")</f>
        <v>0</v>
      </c>
      <c r="L58" s="99">
        <f t="shared" ref="L58" si="70">IFERROR(F58/F$42,"")</f>
        <v>0</v>
      </c>
      <c r="N58" s="329" t="str">
        <f t="shared" ref="N58" si="71">IFERROR(C58/B58-1,"")</f>
        <v/>
      </c>
      <c r="O58" s="329" t="str">
        <f t="shared" ref="O58" si="72">IFERROR(D58/C58-1,"")</f>
        <v/>
      </c>
      <c r="P58" s="329" t="str">
        <f t="shared" ref="P58" si="73">IFERROR(E58/D58-1,"")</f>
        <v/>
      </c>
      <c r="Q58" s="99" t="str">
        <f t="shared" ref="Q58" si="74">IF($Q$7="","",IFERROR(F58/E58-1,""))</f>
        <v/>
      </c>
      <c r="S58" s="334"/>
      <c r="T58" s="330"/>
      <c r="U58" s="330"/>
      <c r="V58" s="330"/>
      <c r="W58" s="330"/>
    </row>
    <row r="59" spans="1:28" x14ac:dyDescent="0.3">
      <c r="A59" s="331" t="s">
        <v>205</v>
      </c>
      <c r="B59" s="379"/>
      <c r="C59" s="379"/>
      <c r="D59" s="379"/>
      <c r="E59" s="379"/>
      <c r="F59" s="378"/>
      <c r="H59" s="329" t="str">
        <f t="shared" ref="H59:H64" si="75">IFERROR(B59/B$42,"")</f>
        <v/>
      </c>
      <c r="I59" s="329" t="str">
        <f t="shared" ref="I59:I64" si="76">IFERROR(C59/C$42,"")</f>
        <v/>
      </c>
      <c r="J59" s="329">
        <f t="shared" ref="J59:J64" si="77">IFERROR(D59/D$42,"")</f>
        <v>0</v>
      </c>
      <c r="K59" s="329">
        <f t="shared" ref="K59:K64" si="78">IFERROR(E59/E$42,"")</f>
        <v>0</v>
      </c>
      <c r="L59" s="99">
        <f t="shared" ref="L59:L64" si="79">IFERROR(F59/F$42,"")</f>
        <v>0</v>
      </c>
      <c r="N59" s="329" t="str">
        <f t="shared" si="21"/>
        <v/>
      </c>
      <c r="O59" s="329" t="str">
        <f t="shared" si="22"/>
        <v/>
      </c>
      <c r="P59" s="329" t="str">
        <f t="shared" si="23"/>
        <v/>
      </c>
      <c r="Q59" s="99" t="str">
        <f t="shared" si="24"/>
        <v/>
      </c>
      <c r="S59" s="334"/>
      <c r="T59" s="330">
        <f t="shared" si="49"/>
        <v>0</v>
      </c>
      <c r="U59" s="330">
        <f t="shared" si="50"/>
        <v>0</v>
      </c>
      <c r="V59" s="330">
        <f t="shared" si="51"/>
        <v>0</v>
      </c>
      <c r="W59" s="330">
        <f t="shared" si="52"/>
        <v>0</v>
      </c>
    </row>
    <row r="60" spans="1:28" x14ac:dyDescent="0.3">
      <c r="A60" s="331" t="s">
        <v>217</v>
      </c>
      <c r="B60" s="379"/>
      <c r="C60" s="379"/>
      <c r="D60" s="379"/>
      <c r="E60" s="379"/>
      <c r="F60" s="378"/>
      <c r="H60" s="329" t="str">
        <f t="shared" si="75"/>
        <v/>
      </c>
      <c r="I60" s="329" t="str">
        <f t="shared" si="76"/>
        <v/>
      </c>
      <c r="J60" s="329">
        <f t="shared" si="77"/>
        <v>0</v>
      </c>
      <c r="K60" s="329">
        <f t="shared" si="78"/>
        <v>0</v>
      </c>
      <c r="L60" s="99">
        <f t="shared" si="79"/>
        <v>0</v>
      </c>
      <c r="N60" s="329" t="str">
        <f t="shared" si="21"/>
        <v/>
      </c>
      <c r="O60" s="329" t="str">
        <f t="shared" si="22"/>
        <v/>
      </c>
      <c r="P60" s="329" t="str">
        <f t="shared" si="23"/>
        <v/>
      </c>
      <c r="Q60" s="99" t="str">
        <f t="shared" si="24"/>
        <v/>
      </c>
      <c r="S60" s="334"/>
      <c r="T60" s="330">
        <f t="shared" si="49"/>
        <v>0</v>
      </c>
      <c r="U60" s="330">
        <f t="shared" si="50"/>
        <v>0</v>
      </c>
      <c r="V60" s="330">
        <f t="shared" si="51"/>
        <v>0</v>
      </c>
      <c r="W60" s="330">
        <f t="shared" si="52"/>
        <v>0</v>
      </c>
    </row>
    <row r="61" spans="1:28" x14ac:dyDescent="0.3">
      <c r="A61" s="331" t="s">
        <v>206</v>
      </c>
      <c r="B61" s="379"/>
      <c r="C61" s="379"/>
      <c r="D61" s="379"/>
      <c r="E61" s="379"/>
      <c r="F61" s="378"/>
      <c r="H61" s="329" t="str">
        <f t="shared" si="75"/>
        <v/>
      </c>
      <c r="I61" s="329" t="str">
        <f t="shared" si="76"/>
        <v/>
      </c>
      <c r="J61" s="329">
        <f t="shared" si="77"/>
        <v>0</v>
      </c>
      <c r="K61" s="329">
        <f t="shared" si="78"/>
        <v>0</v>
      </c>
      <c r="L61" s="99">
        <f t="shared" si="79"/>
        <v>0</v>
      </c>
      <c r="N61" s="329" t="str">
        <f t="shared" si="21"/>
        <v/>
      </c>
      <c r="O61" s="329" t="str">
        <f t="shared" si="22"/>
        <v/>
      </c>
      <c r="P61" s="329" t="str">
        <f t="shared" si="23"/>
        <v/>
      </c>
      <c r="Q61" s="99" t="str">
        <f t="shared" si="24"/>
        <v/>
      </c>
      <c r="S61" s="334"/>
      <c r="T61" s="330">
        <f t="shared" si="49"/>
        <v>0</v>
      </c>
      <c r="U61" s="330">
        <f t="shared" si="50"/>
        <v>0</v>
      </c>
      <c r="V61" s="330">
        <f t="shared" si="51"/>
        <v>0</v>
      </c>
      <c r="W61" s="330">
        <f t="shared" si="52"/>
        <v>0</v>
      </c>
    </row>
    <row r="62" spans="1:28" x14ac:dyDescent="0.3">
      <c r="A62" s="331" t="s">
        <v>207</v>
      </c>
      <c r="B62" s="379"/>
      <c r="C62" s="379"/>
      <c r="D62" s="379"/>
      <c r="E62" s="379"/>
      <c r="F62" s="378"/>
      <c r="H62" s="329" t="str">
        <f t="shared" si="75"/>
        <v/>
      </c>
      <c r="I62" s="329" t="str">
        <f t="shared" si="76"/>
        <v/>
      </c>
      <c r="J62" s="329">
        <f t="shared" si="77"/>
        <v>0</v>
      </c>
      <c r="K62" s="329">
        <f t="shared" si="78"/>
        <v>0</v>
      </c>
      <c r="L62" s="99">
        <f t="shared" si="79"/>
        <v>0</v>
      </c>
      <c r="N62" s="329" t="str">
        <f t="shared" si="21"/>
        <v/>
      </c>
      <c r="O62" s="329" t="str">
        <f t="shared" si="22"/>
        <v/>
      </c>
      <c r="P62" s="329" t="str">
        <f t="shared" si="23"/>
        <v/>
      </c>
      <c r="Q62" s="99" t="str">
        <f t="shared" si="24"/>
        <v/>
      </c>
      <c r="S62" s="334"/>
      <c r="T62" s="330">
        <f t="shared" si="49"/>
        <v>0</v>
      </c>
      <c r="U62" s="330">
        <f t="shared" si="50"/>
        <v>0</v>
      </c>
      <c r="V62" s="330">
        <f t="shared" si="51"/>
        <v>0</v>
      </c>
      <c r="W62" s="330">
        <f t="shared" si="52"/>
        <v>0</v>
      </c>
    </row>
    <row r="63" spans="1:28" x14ac:dyDescent="0.3">
      <c r="A63" s="331" t="s">
        <v>208</v>
      </c>
      <c r="B63" s="379"/>
      <c r="C63" s="379"/>
      <c r="D63" s="379"/>
      <c r="E63" s="379"/>
      <c r="F63" s="378"/>
      <c r="H63" s="329" t="str">
        <f t="shared" si="75"/>
        <v/>
      </c>
      <c r="I63" s="329" t="str">
        <f t="shared" si="76"/>
        <v/>
      </c>
      <c r="J63" s="329">
        <f t="shared" si="77"/>
        <v>0</v>
      </c>
      <c r="K63" s="329">
        <f t="shared" si="78"/>
        <v>0</v>
      </c>
      <c r="L63" s="99">
        <f t="shared" si="79"/>
        <v>0</v>
      </c>
      <c r="N63" s="329" t="str">
        <f t="shared" si="21"/>
        <v/>
      </c>
      <c r="O63" s="329" t="str">
        <f t="shared" si="22"/>
        <v/>
      </c>
      <c r="P63" s="329" t="str">
        <f t="shared" si="23"/>
        <v/>
      </c>
      <c r="Q63" s="99" t="str">
        <f t="shared" si="24"/>
        <v/>
      </c>
      <c r="S63" s="334"/>
      <c r="T63" s="330">
        <f t="shared" si="49"/>
        <v>0</v>
      </c>
      <c r="U63" s="330">
        <f t="shared" si="50"/>
        <v>0</v>
      </c>
      <c r="V63" s="330">
        <f t="shared" si="51"/>
        <v>0</v>
      </c>
      <c r="W63" s="330">
        <f t="shared" si="52"/>
        <v>0</v>
      </c>
    </row>
    <row r="64" spans="1:28" s="343" customFormat="1" ht="15" thickBot="1" x14ac:dyDescent="0.35">
      <c r="A64" s="349" t="s">
        <v>382</v>
      </c>
      <c r="B64" s="367">
        <f>SUM(B58:B63)</f>
        <v>0</v>
      </c>
      <c r="C64" s="367">
        <f t="shared" ref="C64:F64" si="80">SUM(C58:C63)</f>
        <v>0</v>
      </c>
      <c r="D64" s="367">
        <f t="shared" si="80"/>
        <v>0</v>
      </c>
      <c r="E64" s="367">
        <f t="shared" si="80"/>
        <v>0</v>
      </c>
      <c r="F64" s="368">
        <f t="shared" si="80"/>
        <v>0</v>
      </c>
      <c r="H64" s="351" t="str">
        <f t="shared" si="75"/>
        <v/>
      </c>
      <c r="I64" s="351" t="str">
        <f t="shared" si="76"/>
        <v/>
      </c>
      <c r="J64" s="351">
        <f t="shared" si="77"/>
        <v>0</v>
      </c>
      <c r="K64" s="351">
        <f t="shared" si="78"/>
        <v>0</v>
      </c>
      <c r="L64" s="352">
        <f t="shared" si="79"/>
        <v>0</v>
      </c>
      <c r="N64" s="351" t="str">
        <f t="shared" si="21"/>
        <v/>
      </c>
      <c r="O64" s="351" t="str">
        <f t="shared" si="22"/>
        <v/>
      </c>
      <c r="P64" s="351" t="str">
        <f t="shared" si="23"/>
        <v/>
      </c>
      <c r="Q64" s="352" t="str">
        <f t="shared" si="24"/>
        <v/>
      </c>
      <c r="R64" s="346"/>
      <c r="S64" s="347"/>
      <c r="T64" s="348">
        <f t="shared" si="49"/>
        <v>0</v>
      </c>
      <c r="U64" s="348">
        <f t="shared" si="50"/>
        <v>0</v>
      </c>
      <c r="V64" s="348">
        <f t="shared" si="51"/>
        <v>0</v>
      </c>
      <c r="W64" s="348">
        <f t="shared" si="52"/>
        <v>0</v>
      </c>
      <c r="X64" s="476"/>
      <c r="Y64" s="346"/>
      <c r="Z64" s="346"/>
      <c r="AA64" s="346"/>
      <c r="AB64" s="346"/>
    </row>
    <row r="65" spans="1:28" s="372" customFormat="1" ht="15" thickTop="1" x14ac:dyDescent="0.3">
      <c r="A65" s="369" t="s">
        <v>369</v>
      </c>
      <c r="B65" s="370"/>
      <c r="C65" s="370"/>
      <c r="D65" s="370"/>
      <c r="E65" s="370"/>
      <c r="F65" s="371"/>
      <c r="H65" s="373"/>
      <c r="I65" s="373"/>
      <c r="J65" s="373"/>
      <c r="K65" s="373"/>
      <c r="L65" s="374"/>
      <c r="N65" s="373" t="str">
        <f t="shared" si="21"/>
        <v/>
      </c>
      <c r="O65" s="373" t="str">
        <f t="shared" si="22"/>
        <v/>
      </c>
      <c r="P65" s="373" t="str">
        <f t="shared" si="23"/>
        <v/>
      </c>
      <c r="Q65" s="374" t="str">
        <f t="shared" si="24"/>
        <v/>
      </c>
      <c r="R65" s="346"/>
      <c r="S65" s="347"/>
      <c r="T65" s="348"/>
      <c r="U65" s="348"/>
      <c r="V65" s="348"/>
      <c r="W65" s="348"/>
      <c r="X65" s="476"/>
      <c r="Y65" s="346"/>
      <c r="Z65" s="346"/>
      <c r="AA65" s="346"/>
      <c r="AB65" s="346"/>
    </row>
    <row r="66" spans="1:28" x14ac:dyDescent="0.3">
      <c r="A66" s="331" t="s">
        <v>199</v>
      </c>
      <c r="B66" s="377"/>
      <c r="C66" s="377"/>
      <c r="D66" s="377">
        <v>1</v>
      </c>
      <c r="E66" s="377">
        <v>1</v>
      </c>
      <c r="F66" s="378">
        <v>1</v>
      </c>
      <c r="G66" s="37"/>
      <c r="H66" s="329" t="str">
        <f t="shared" ref="H66:L69" si="81">IFERROR(B66/B$42,"")</f>
        <v/>
      </c>
      <c r="I66" s="329" t="str">
        <f t="shared" si="81"/>
        <v/>
      </c>
      <c r="J66" s="329">
        <f t="shared" si="81"/>
        <v>2.1651582730697616E-5</v>
      </c>
      <c r="K66" s="329">
        <f t="shared" si="81"/>
        <v>5.4945356842620016E-6</v>
      </c>
      <c r="L66" s="99">
        <f t="shared" si="81"/>
        <v>4.0588039516515272E-6</v>
      </c>
      <c r="N66" s="329" t="str">
        <f t="shared" si="21"/>
        <v/>
      </c>
      <c r="O66" s="329" t="str">
        <f t="shared" si="22"/>
        <v/>
      </c>
      <c r="P66" s="329">
        <f t="shared" si="23"/>
        <v>0</v>
      </c>
      <c r="Q66" s="99" t="str">
        <f t="shared" si="24"/>
        <v/>
      </c>
      <c r="S66" s="334"/>
      <c r="T66" s="330">
        <f t="shared" ref="T66:W72" si="82">C66-B66</f>
        <v>0</v>
      </c>
      <c r="U66" s="330">
        <f t="shared" si="82"/>
        <v>1</v>
      </c>
      <c r="V66" s="330">
        <f t="shared" si="82"/>
        <v>0</v>
      </c>
      <c r="W66" s="330">
        <f t="shared" si="82"/>
        <v>0</v>
      </c>
    </row>
    <row r="67" spans="1:28" x14ac:dyDescent="0.3">
      <c r="A67" s="331" t="s">
        <v>203</v>
      </c>
      <c r="B67" s="379"/>
      <c r="C67" s="379"/>
      <c r="D67" s="379"/>
      <c r="E67" s="379"/>
      <c r="F67" s="378"/>
      <c r="H67" s="329" t="str">
        <f t="shared" si="81"/>
        <v/>
      </c>
      <c r="I67" s="329" t="str">
        <f t="shared" si="81"/>
        <v/>
      </c>
      <c r="J67" s="329">
        <f t="shared" si="81"/>
        <v>0</v>
      </c>
      <c r="K67" s="329">
        <f t="shared" si="81"/>
        <v>0</v>
      </c>
      <c r="L67" s="99">
        <f t="shared" si="81"/>
        <v>0</v>
      </c>
      <c r="N67" s="329" t="str">
        <f t="shared" si="21"/>
        <v/>
      </c>
      <c r="O67" s="329" t="str">
        <f t="shared" si="22"/>
        <v/>
      </c>
      <c r="P67" s="329" t="str">
        <f t="shared" si="23"/>
        <v/>
      </c>
      <c r="Q67" s="99" t="str">
        <f t="shared" si="24"/>
        <v/>
      </c>
      <c r="S67" s="334"/>
      <c r="T67" s="330">
        <f t="shared" si="82"/>
        <v>0</v>
      </c>
      <c r="U67" s="330">
        <f t="shared" si="82"/>
        <v>0</v>
      </c>
      <c r="V67" s="330">
        <f t="shared" si="82"/>
        <v>0</v>
      </c>
      <c r="W67" s="330">
        <f t="shared" si="82"/>
        <v>0</v>
      </c>
    </row>
    <row r="68" spans="1:28" x14ac:dyDescent="0.3">
      <c r="A68" s="331" t="s">
        <v>200</v>
      </c>
      <c r="B68" s="379"/>
      <c r="C68" s="379"/>
      <c r="D68" s="379">
        <v>8570</v>
      </c>
      <c r="E68" s="379">
        <v>32708</v>
      </c>
      <c r="F68" s="378">
        <v>59574</v>
      </c>
      <c r="H68" s="329" t="str">
        <f t="shared" si="81"/>
        <v/>
      </c>
      <c r="I68" s="329" t="str">
        <f t="shared" si="81"/>
        <v/>
      </c>
      <c r="J68" s="329">
        <f t="shared" si="81"/>
        <v>0.18555406400207855</v>
      </c>
      <c r="K68" s="329">
        <f t="shared" si="81"/>
        <v>0.17971527316084154</v>
      </c>
      <c r="L68" s="99">
        <f t="shared" si="81"/>
        <v>0.24179918661568808</v>
      </c>
      <c r="N68" s="329" t="str">
        <f t="shared" si="21"/>
        <v/>
      </c>
      <c r="O68" s="329" t="str">
        <f t="shared" si="22"/>
        <v/>
      </c>
      <c r="P68" s="329">
        <f t="shared" si="23"/>
        <v>2.8165694282380396</v>
      </c>
      <c r="Q68" s="99" t="str">
        <f t="shared" si="24"/>
        <v/>
      </c>
      <c r="S68" s="334"/>
      <c r="T68" s="330">
        <f t="shared" si="82"/>
        <v>0</v>
      </c>
      <c r="U68" s="330">
        <f t="shared" si="82"/>
        <v>8570</v>
      </c>
      <c r="V68" s="330">
        <f t="shared" si="82"/>
        <v>24138</v>
      </c>
      <c r="W68" s="330">
        <f t="shared" si="82"/>
        <v>26866</v>
      </c>
    </row>
    <row r="69" spans="1:28" x14ac:dyDescent="0.3">
      <c r="A69" s="331" t="s">
        <v>201</v>
      </c>
      <c r="B69" s="379"/>
      <c r="C69" s="379"/>
      <c r="D69" s="379"/>
      <c r="E69" s="379"/>
      <c r="F69" s="378"/>
      <c r="H69" s="329" t="str">
        <f t="shared" si="81"/>
        <v/>
      </c>
      <c r="I69" s="329" t="str">
        <f t="shared" si="81"/>
        <v/>
      </c>
      <c r="J69" s="329">
        <f t="shared" si="81"/>
        <v>0</v>
      </c>
      <c r="K69" s="329">
        <f t="shared" si="81"/>
        <v>0</v>
      </c>
      <c r="L69" s="99">
        <f t="shared" si="81"/>
        <v>0</v>
      </c>
      <c r="N69" s="329" t="str">
        <f t="shared" si="21"/>
        <v/>
      </c>
      <c r="O69" s="329" t="str">
        <f t="shared" si="22"/>
        <v/>
      </c>
      <c r="P69" s="329" t="str">
        <f t="shared" si="23"/>
        <v/>
      </c>
      <c r="Q69" s="99" t="str">
        <f t="shared" si="24"/>
        <v/>
      </c>
      <c r="S69" s="334"/>
      <c r="T69" s="330">
        <f t="shared" si="82"/>
        <v>0</v>
      </c>
      <c r="U69" s="330">
        <f t="shared" si="82"/>
        <v>0</v>
      </c>
      <c r="V69" s="330">
        <f t="shared" si="82"/>
        <v>0</v>
      </c>
      <c r="W69" s="330">
        <f t="shared" si="82"/>
        <v>0</v>
      </c>
    </row>
    <row r="70" spans="1:28" x14ac:dyDescent="0.3">
      <c r="A70" s="331" t="s">
        <v>244</v>
      </c>
      <c r="B70" s="379"/>
      <c r="C70" s="379"/>
      <c r="D70" s="379"/>
      <c r="E70" s="379"/>
      <c r="F70" s="378"/>
      <c r="H70" s="329" t="str">
        <f t="shared" ref="H70:K72" si="83">IFERROR(B70/B$42,"")</f>
        <v/>
      </c>
      <c r="I70" s="329" t="str">
        <f t="shared" si="83"/>
        <v/>
      </c>
      <c r="J70" s="329">
        <f t="shared" si="83"/>
        <v>0</v>
      </c>
      <c r="K70" s="329">
        <f t="shared" si="83"/>
        <v>0</v>
      </c>
      <c r="L70" s="99"/>
      <c r="N70" s="329" t="str">
        <f t="shared" si="21"/>
        <v/>
      </c>
      <c r="O70" s="329" t="str">
        <f t="shared" si="22"/>
        <v/>
      </c>
      <c r="P70" s="329" t="str">
        <f t="shared" si="23"/>
        <v/>
      </c>
      <c r="Q70" s="99" t="str">
        <f t="shared" si="24"/>
        <v/>
      </c>
      <c r="S70" s="334"/>
      <c r="T70" s="330">
        <f t="shared" si="82"/>
        <v>0</v>
      </c>
      <c r="U70" s="330">
        <f t="shared" si="82"/>
        <v>0</v>
      </c>
      <c r="V70" s="330">
        <f t="shared" si="82"/>
        <v>0</v>
      </c>
      <c r="W70" s="330">
        <f t="shared" si="82"/>
        <v>0</v>
      </c>
    </row>
    <row r="71" spans="1:28" x14ac:dyDescent="0.3">
      <c r="A71" s="331" t="s">
        <v>202</v>
      </c>
      <c r="B71" s="379"/>
      <c r="C71" s="379"/>
      <c r="D71" s="379"/>
      <c r="E71" s="379"/>
      <c r="F71" s="378"/>
      <c r="H71" s="329" t="str">
        <f t="shared" si="83"/>
        <v/>
      </c>
      <c r="I71" s="329" t="str">
        <f t="shared" si="83"/>
        <v/>
      </c>
      <c r="J71" s="329">
        <f t="shared" si="83"/>
        <v>0</v>
      </c>
      <c r="K71" s="329">
        <f t="shared" si="83"/>
        <v>0</v>
      </c>
      <c r="L71" s="99">
        <f>IFERROR(F71/F$42,"")</f>
        <v>0</v>
      </c>
      <c r="N71" s="329" t="str">
        <f t="shared" si="21"/>
        <v/>
      </c>
      <c r="O71" s="329" t="str">
        <f t="shared" si="22"/>
        <v/>
      </c>
      <c r="P71" s="329" t="str">
        <f t="shared" si="23"/>
        <v/>
      </c>
      <c r="Q71" s="99" t="str">
        <f t="shared" si="24"/>
        <v/>
      </c>
      <c r="S71" s="334"/>
      <c r="T71" s="330">
        <f t="shared" si="82"/>
        <v>0</v>
      </c>
      <c r="U71" s="330">
        <f t="shared" si="82"/>
        <v>0</v>
      </c>
      <c r="V71" s="330">
        <f t="shared" si="82"/>
        <v>0</v>
      </c>
      <c r="W71" s="330">
        <f t="shared" si="82"/>
        <v>0</v>
      </c>
    </row>
    <row r="72" spans="1:28" s="343" customFormat="1" ht="15" thickBot="1" x14ac:dyDescent="0.35">
      <c r="A72" s="349" t="s">
        <v>146</v>
      </c>
      <c r="B72" s="367">
        <f>SUM(B66:B71)</f>
        <v>0</v>
      </c>
      <c r="C72" s="367">
        <f>SUM(C66:C71)</f>
        <v>0</v>
      </c>
      <c r="D72" s="367">
        <f>SUM(D66:D71)</f>
        <v>8571</v>
      </c>
      <c r="E72" s="367">
        <f>SUM(E66:E71)</f>
        <v>32709</v>
      </c>
      <c r="F72" s="368">
        <f>SUM(F66:F71)</f>
        <v>59575</v>
      </c>
      <c r="H72" s="351" t="str">
        <f t="shared" si="83"/>
        <v/>
      </c>
      <c r="I72" s="351" t="str">
        <f t="shared" si="83"/>
        <v/>
      </c>
      <c r="J72" s="351">
        <f t="shared" si="83"/>
        <v>0.18557571558480926</v>
      </c>
      <c r="K72" s="351">
        <f t="shared" si="83"/>
        <v>0.17972076769652581</v>
      </c>
      <c r="L72" s="352">
        <f>IFERROR(F72/F$42,"")</f>
        <v>0.24180324541963974</v>
      </c>
      <c r="N72" s="351" t="str">
        <f t="shared" si="21"/>
        <v/>
      </c>
      <c r="O72" s="351" t="str">
        <f t="shared" si="22"/>
        <v/>
      </c>
      <c r="P72" s="351">
        <f t="shared" si="23"/>
        <v>2.8162408120406019</v>
      </c>
      <c r="Q72" s="352" t="str">
        <f t="shared" si="24"/>
        <v/>
      </c>
      <c r="R72" s="346"/>
      <c r="S72" s="347"/>
      <c r="T72" s="348">
        <f t="shared" si="82"/>
        <v>0</v>
      </c>
      <c r="U72" s="348">
        <f t="shared" si="82"/>
        <v>8571</v>
      </c>
      <c r="V72" s="348">
        <f t="shared" si="82"/>
        <v>24138</v>
      </c>
      <c r="W72" s="348">
        <f t="shared" si="82"/>
        <v>26866</v>
      </c>
      <c r="X72" s="476"/>
      <c r="Y72" s="346"/>
      <c r="Z72" s="346"/>
      <c r="AA72" s="346"/>
      <c r="AB72" s="346"/>
    </row>
    <row r="73" spans="1:28" ht="15" thickTop="1" x14ac:dyDescent="0.3">
      <c r="B73" s="365"/>
      <c r="C73" s="365"/>
      <c r="D73" s="365"/>
      <c r="E73" s="365"/>
      <c r="F73" s="366"/>
      <c r="H73" s="329"/>
      <c r="I73" s="329"/>
      <c r="J73" s="329"/>
      <c r="K73" s="329"/>
      <c r="L73" s="99"/>
      <c r="N73" s="329"/>
      <c r="O73" s="329"/>
      <c r="P73" s="329"/>
      <c r="Q73" s="99"/>
      <c r="S73" s="334"/>
      <c r="T73" s="330"/>
      <c r="U73" s="330"/>
      <c r="V73" s="330"/>
      <c r="W73" s="330"/>
    </row>
    <row r="74" spans="1:28" x14ac:dyDescent="0.3">
      <c r="A74" s="328" t="s">
        <v>204</v>
      </c>
      <c r="B74" s="379"/>
      <c r="C74" s="379"/>
      <c r="D74" s="379"/>
      <c r="E74" s="379"/>
      <c r="F74" s="378"/>
      <c r="H74" s="329" t="str">
        <f>IFERROR(B74/B$42,"")</f>
        <v/>
      </c>
      <c r="I74" s="329" t="str">
        <f>IFERROR(C74/C$42,"")</f>
        <v/>
      </c>
      <c r="J74" s="329">
        <f>IFERROR(D74/D$42,"")</f>
        <v>0</v>
      </c>
      <c r="K74" s="329">
        <f>IFERROR(E74/E$42,"")</f>
        <v>0</v>
      </c>
      <c r="L74" s="99">
        <f>IFERROR(F74/F$42,"")</f>
        <v>0</v>
      </c>
      <c r="N74" s="329" t="str">
        <f t="shared" si="21"/>
        <v/>
      </c>
      <c r="O74" s="329" t="str">
        <f t="shared" si="22"/>
        <v/>
      </c>
      <c r="P74" s="329" t="str">
        <f t="shared" si="23"/>
        <v/>
      </c>
      <c r="Q74" s="99" t="str">
        <f t="shared" si="24"/>
        <v/>
      </c>
      <c r="S74" s="334"/>
      <c r="T74" s="330">
        <f>C74-B74</f>
        <v>0</v>
      </c>
      <c r="U74" s="330">
        <f>D74-C74</f>
        <v>0</v>
      </c>
      <c r="V74" s="330">
        <f>E74-D74</f>
        <v>0</v>
      </c>
      <c r="W74" s="330">
        <f>F74-E74</f>
        <v>0</v>
      </c>
    </row>
    <row r="75" spans="1:28" x14ac:dyDescent="0.3">
      <c r="B75" s="365"/>
      <c r="C75" s="365"/>
      <c r="D75" s="365"/>
      <c r="E75" s="365"/>
      <c r="F75" s="366"/>
      <c r="H75" s="329"/>
      <c r="I75" s="329"/>
      <c r="J75" s="329"/>
      <c r="K75" s="329"/>
      <c r="L75" s="99"/>
      <c r="N75" s="329"/>
      <c r="O75" s="329"/>
      <c r="P75" s="329"/>
      <c r="Q75" s="99"/>
      <c r="S75" s="334"/>
      <c r="T75" s="330"/>
      <c r="U75" s="330"/>
      <c r="V75" s="330"/>
      <c r="W75" s="330"/>
    </row>
    <row r="76" spans="1:28" s="343" customFormat="1" ht="15" thickBot="1" x14ac:dyDescent="0.35">
      <c r="A76" s="357" t="s">
        <v>215</v>
      </c>
      <c r="B76" s="358">
        <f>B72+B55+B64</f>
        <v>0</v>
      </c>
      <c r="C76" s="358">
        <f>C72+C55+C64</f>
        <v>0</v>
      </c>
      <c r="D76" s="358">
        <f>D72+D55+D64</f>
        <v>46186</v>
      </c>
      <c r="E76" s="358">
        <f>E72+E55+E64</f>
        <v>181999</v>
      </c>
      <c r="F76" s="359">
        <f>F72+F55+F64</f>
        <v>246378</v>
      </c>
      <c r="G76" s="340"/>
      <c r="H76" s="360" t="str">
        <f>IFERROR(B76/B$42,"")</f>
        <v/>
      </c>
      <c r="I76" s="360" t="str">
        <f t="shared" ref="I76" si="84">IFERROR(C76/C$42,"")</f>
        <v/>
      </c>
      <c r="J76" s="360">
        <f t="shared" ref="J76" si="85">IFERROR(D76/D$42,"")</f>
        <v>1</v>
      </c>
      <c r="K76" s="360">
        <f t="shared" ref="K76" si="86">IFERROR(E76/E$42,"")</f>
        <v>1</v>
      </c>
      <c r="L76" s="361">
        <f t="shared" ref="L76" si="87">IFERROR(F76/F$42,"")</f>
        <v>1</v>
      </c>
      <c r="N76" s="360" t="str">
        <f t="shared" si="21"/>
        <v/>
      </c>
      <c r="O76" s="360" t="str">
        <f t="shared" si="22"/>
        <v/>
      </c>
      <c r="P76" s="360">
        <f t="shared" si="23"/>
        <v>2.9405664054042351</v>
      </c>
      <c r="Q76" s="361" t="str">
        <f t="shared" si="24"/>
        <v/>
      </c>
      <c r="R76" s="346"/>
      <c r="S76" s="347"/>
      <c r="T76" s="348">
        <f t="shared" si="49"/>
        <v>0</v>
      </c>
      <c r="U76" s="348">
        <f t="shared" si="50"/>
        <v>46186</v>
      </c>
      <c r="V76" s="348">
        <f t="shared" si="51"/>
        <v>135813</v>
      </c>
      <c r="W76" s="348">
        <f t="shared" si="52"/>
        <v>64379</v>
      </c>
      <c r="X76" s="476"/>
      <c r="Y76" s="346"/>
      <c r="Z76" s="346"/>
      <c r="AA76" s="346"/>
      <c r="AB76" s="346"/>
    </row>
    <row r="77" spans="1:28" x14ac:dyDescent="0.3">
      <c r="B77" s="375"/>
      <c r="C77" s="375"/>
      <c r="D77" s="375"/>
      <c r="E77" s="375"/>
      <c r="F77" s="375"/>
      <c r="T77" s="330"/>
      <c r="U77" s="330"/>
      <c r="V77" s="330"/>
      <c r="W77" s="330"/>
    </row>
    <row r="78" spans="1:28" x14ac:dyDescent="0.3">
      <c r="A78" s="314" t="s">
        <v>219</v>
      </c>
      <c r="B78" s="376">
        <f>B42-B76</f>
        <v>0</v>
      </c>
      <c r="C78" s="376">
        <f>C42-C76</f>
        <v>0</v>
      </c>
      <c r="D78" s="376">
        <f>D42-D76</f>
        <v>0</v>
      </c>
      <c r="E78" s="376">
        <f>E42-E76</f>
        <v>0</v>
      </c>
      <c r="F78" s="376">
        <f>F42-F76</f>
        <v>0</v>
      </c>
      <c r="T78" s="330"/>
      <c r="U78" s="330"/>
      <c r="V78" s="330"/>
      <c r="W78" s="330"/>
    </row>
    <row r="79" spans="1:28" x14ac:dyDescent="0.3">
      <c r="B79" s="375"/>
      <c r="C79" s="375"/>
      <c r="D79" s="375"/>
      <c r="E79" s="375"/>
      <c r="F79" s="375"/>
    </row>
    <row r="80" spans="1:28" ht="15" customHeight="1" x14ac:dyDescent="0.3">
      <c r="B80" s="375"/>
      <c r="C80" s="375"/>
      <c r="D80" s="375"/>
      <c r="E80" s="375"/>
      <c r="F80" s="375"/>
    </row>
    <row r="81" spans="2:6" x14ac:dyDescent="0.3">
      <c r="B81" s="375"/>
      <c r="C81" s="375"/>
      <c r="D81" s="375"/>
      <c r="E81" s="375"/>
      <c r="F81" s="375"/>
    </row>
    <row r="82" spans="2:6" x14ac:dyDescent="0.3">
      <c r="B82" s="375"/>
      <c r="C82" s="375"/>
      <c r="D82" s="375"/>
      <c r="E82" s="375"/>
      <c r="F82" s="375"/>
    </row>
    <row r="83" spans="2:6" x14ac:dyDescent="0.3">
      <c r="B83" s="375"/>
      <c r="C83" s="375"/>
      <c r="D83" s="375"/>
      <c r="E83" s="375"/>
      <c r="F83" s="375"/>
    </row>
    <row r="84" spans="2:6" x14ac:dyDescent="0.3">
      <c r="B84" s="375"/>
      <c r="C84" s="375"/>
      <c r="D84" s="375"/>
      <c r="E84" s="375"/>
      <c r="F84" s="375"/>
    </row>
    <row r="85" spans="2:6" x14ac:dyDescent="0.3">
      <c r="B85" s="375"/>
      <c r="C85" s="375"/>
      <c r="D85" s="375"/>
      <c r="E85" s="375"/>
      <c r="F85" s="375"/>
    </row>
    <row r="86" spans="2:6" x14ac:dyDescent="0.3">
      <c r="B86" s="375"/>
      <c r="C86" s="375"/>
      <c r="D86" s="375"/>
      <c r="E86" s="375"/>
      <c r="F86" s="375"/>
    </row>
    <row r="87" spans="2:6" x14ac:dyDescent="0.3">
      <c r="B87" s="375"/>
      <c r="C87" s="375"/>
      <c r="D87" s="375"/>
      <c r="E87" s="375"/>
      <c r="F87" s="375"/>
    </row>
    <row r="88" spans="2:6" x14ac:dyDescent="0.3">
      <c r="B88" s="375"/>
      <c r="C88" s="375"/>
      <c r="D88" s="375"/>
      <c r="E88" s="375"/>
      <c r="F88" s="375"/>
    </row>
    <row r="89" spans="2:6" x14ac:dyDescent="0.3">
      <c r="B89" s="375"/>
      <c r="C89" s="375"/>
      <c r="D89" s="375"/>
      <c r="E89" s="375"/>
      <c r="F89" s="375"/>
    </row>
    <row r="90" spans="2:6" x14ac:dyDescent="0.3">
      <c r="B90" s="375"/>
      <c r="C90" s="375"/>
      <c r="D90" s="375"/>
      <c r="E90" s="375"/>
      <c r="F90" s="375"/>
    </row>
    <row r="91" spans="2:6" x14ac:dyDescent="0.3">
      <c r="B91" s="375"/>
      <c r="C91" s="375"/>
      <c r="D91" s="375"/>
      <c r="E91" s="375"/>
      <c r="F91" s="375"/>
    </row>
  </sheetData>
  <sheetProtection password="C445" sheet="1" objects="1" scenarios="1" selectLockedCells="1"/>
  <mergeCells count="4">
    <mergeCell ref="H5:L6"/>
    <mergeCell ref="E3:F3"/>
    <mergeCell ref="F4:F5"/>
    <mergeCell ref="N5:Q6"/>
  </mergeCells>
  <dataValidations count="5">
    <dataValidation type="custom" allowBlank="1" showInputMessage="1" showErrorMessage="1" error="Data for this year is not available. Please enter data in next column." sqref="B26:E29 B46:E54 B58:E63 B66:E71 B74:E74 B33:E39 B10:E11 B13:E16 B18:E22 B31:E31" xr:uid="{00000000-0002-0000-0200-000000000000}">
      <formula1>IF(B$7="","",ISNUMBER(B10))</formula1>
    </dataValidation>
    <dataValidation type="custom" allowBlank="1" showInputMessage="1" showErrorMessage="1" error="Data for projected year is not available. Please enter projected year in Cover page worksheet to enable this column." sqref="F10:F11 F13:F16 F18:F22 F26:F29 F31 F33:F39 F41 F46:F54 F58:F63 F66:F71 F74" xr:uid="{00000000-0002-0000-0200-000001000000}">
      <formula1>IF(F$7="","",ISNUMBER(F10))</formula1>
    </dataValidation>
    <dataValidation type="list" allowBlank="1" showInputMessage="1" showErrorMessage="1" sqref="B4:E4" xr:uid="{00000000-0002-0000-0200-000002000000}">
      <formula1>$Y$3:$Y$6</formula1>
    </dataValidation>
    <dataValidation type="list" allowBlank="1" showInputMessage="1" showErrorMessage="1" sqref="B5:E5" xr:uid="{00000000-0002-0000-0200-000003000000}">
      <formula1>$Z$3:$Z$4</formula1>
    </dataValidation>
    <dataValidation allowBlank="1" showInputMessage="1" showErrorMessage="1" error="Please enter 3 or 6 or 9 or 12." sqref="B6:F6" xr:uid="{00000000-0002-0000-0200-000004000000}"/>
  </dataValidations>
  <pageMargins left="0.39" right="0.17" top="0.39" bottom="0.27" header="0.3" footer="0.18"/>
  <pageSetup scale="66" orientation="landscape" r:id="rId1"/>
  <rowBreaks count="1" manualBreakCount="1">
    <brk id="55"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A1:Y66"/>
  <sheetViews>
    <sheetView showGridLines="0" workbookViewId="0">
      <selection activeCell="F14" sqref="F14"/>
    </sheetView>
  </sheetViews>
  <sheetFormatPr defaultColWidth="9.109375" defaultRowHeight="14.4" x14ac:dyDescent="0.3"/>
  <cols>
    <col min="1" max="1" width="45.5546875" style="98" customWidth="1"/>
    <col min="2" max="2" width="11.5546875" style="99" bestFit="1" customWidth="1"/>
    <col min="3" max="4" width="11.33203125" style="99" bestFit="1" customWidth="1"/>
    <col min="5" max="5" width="11.5546875" style="99" bestFit="1" customWidth="1"/>
    <col min="6" max="6" width="10.44140625" style="99" bestFit="1" customWidth="1"/>
    <col min="7" max="7" width="1.5546875" style="98" customWidth="1"/>
    <col min="8" max="8" width="10.44140625" style="98" bestFit="1" customWidth="1"/>
    <col min="9" max="9" width="9.88671875" style="98" bestFit="1" customWidth="1"/>
    <col min="10" max="11" width="10.44140625" style="98" bestFit="1" customWidth="1"/>
    <col min="12" max="12" width="9.33203125" style="98" bestFit="1" customWidth="1"/>
    <col min="13" max="13" width="1.44140625" style="98" customWidth="1"/>
    <col min="14" max="14" width="11.109375" style="98" customWidth="1"/>
    <col min="15" max="15" width="8.109375" style="98" customWidth="1"/>
    <col min="16" max="16" width="7.109375" style="98" customWidth="1"/>
    <col min="17" max="17" width="2" style="385" customWidth="1"/>
    <col min="18" max="16384" width="9.109375" style="98"/>
  </cols>
  <sheetData>
    <row r="1" spans="1:25" ht="23.4" x14ac:dyDescent="0.45">
      <c r="A1" s="306" t="str">
        <f>IF('Cover page'!E7="","",'Cover page'!E7)&amp;" -"&amp;" "&amp;"INCOME STATEMENT"</f>
        <v xml:space="preserve"> - INCOME STATEMENT</v>
      </c>
      <c r="B1" s="383"/>
      <c r="C1" s="383"/>
      <c r="D1" s="383"/>
      <c r="E1" s="383"/>
      <c r="F1" s="383"/>
      <c r="G1" s="384"/>
      <c r="H1" s="384"/>
      <c r="I1" s="384"/>
      <c r="J1" s="384"/>
      <c r="K1" s="384"/>
      <c r="L1" s="384"/>
      <c r="M1" s="384"/>
      <c r="N1" s="384"/>
      <c r="O1" s="384"/>
      <c r="P1" s="384"/>
      <c r="Q1" s="384"/>
      <c r="R1" s="384"/>
      <c r="S1" s="384"/>
      <c r="T1" s="384"/>
      <c r="U1" s="384"/>
    </row>
    <row r="2" spans="1:25" x14ac:dyDescent="0.3">
      <c r="A2" s="309"/>
      <c r="B2" s="310"/>
      <c r="C2" s="310"/>
      <c r="D2" s="310"/>
      <c r="E2" s="310"/>
      <c r="F2" s="310"/>
      <c r="G2" s="311"/>
      <c r="H2" s="311"/>
      <c r="I2" s="311"/>
      <c r="X2" s="98" t="s">
        <v>132</v>
      </c>
      <c r="Y2" s="98" t="s">
        <v>229</v>
      </c>
    </row>
    <row r="3" spans="1:25" ht="18" x14ac:dyDescent="0.35">
      <c r="A3" s="312"/>
      <c r="B3" s="313"/>
      <c r="C3" s="313"/>
      <c r="D3" s="313"/>
      <c r="E3" s="529" t="str">
        <f>'Balance Sheet'!E3:F3</f>
        <v>In LKR Thousands</v>
      </c>
      <c r="F3" s="529"/>
      <c r="G3" s="314"/>
      <c r="H3" s="315"/>
      <c r="I3" s="315"/>
      <c r="N3" s="182" t="s">
        <v>171</v>
      </c>
      <c r="O3" s="182">
        <v>288</v>
      </c>
      <c r="X3" s="386" t="s">
        <v>225</v>
      </c>
      <c r="Y3" s="98" t="s">
        <v>230</v>
      </c>
    </row>
    <row r="4" spans="1:25" ht="15" customHeight="1" x14ac:dyDescent="0.3">
      <c r="A4" s="312" t="str">
        <f>IF('Balance Sheet'!A4="","",('Balance Sheet'!A4))</f>
        <v>Audited (A)/ Draft (D)/ Interim (I)/ Mgmt (M)</v>
      </c>
      <c r="B4" s="317" t="str">
        <f>IF('Balance Sheet'!B4="","",('Balance Sheet'!B4))</f>
        <v>A</v>
      </c>
      <c r="C4" s="317" t="str">
        <f>IF('Balance Sheet'!C4="","",('Balance Sheet'!C4))</f>
        <v>A</v>
      </c>
      <c r="D4" s="317" t="str">
        <f>IF('Balance Sheet'!D4="","",('Balance Sheet'!D4))</f>
        <v>A</v>
      </c>
      <c r="E4" s="317" t="str">
        <f>IF('Balance Sheet'!E4="","",('Balance Sheet'!E4))</f>
        <v>A</v>
      </c>
      <c r="F4" s="518" t="str">
        <f>IF('Balance Sheet'!F4="","",('Balance Sheet'!F4))</f>
        <v>Projected</v>
      </c>
      <c r="G4" s="314"/>
      <c r="H4" s="387"/>
      <c r="I4" s="387"/>
      <c r="J4" s="387"/>
      <c r="K4" s="387"/>
      <c r="L4" s="387"/>
      <c r="X4" s="386" t="s">
        <v>226</v>
      </c>
      <c r="Y4" s="98" t="s">
        <v>231</v>
      </c>
    </row>
    <row r="5" spans="1:25" ht="18" customHeight="1" x14ac:dyDescent="0.3">
      <c r="A5" s="312" t="str">
        <f>IF('Balance Sheet'!A5="","",('Balance Sheet'!A5))</f>
        <v>Qualified (Y/N)</v>
      </c>
      <c r="B5" s="388" t="str">
        <f>IF('Balance Sheet'!B5="","",('Balance Sheet'!B5))</f>
        <v/>
      </c>
      <c r="C5" s="388" t="str">
        <f>IF('Balance Sheet'!C5="","",('Balance Sheet'!C5))</f>
        <v/>
      </c>
      <c r="D5" s="388" t="str">
        <f>IF('Balance Sheet'!D5="","",('Balance Sheet'!D5))</f>
        <v/>
      </c>
      <c r="E5" s="388" t="str">
        <f>IF('Balance Sheet'!E5="","",('Balance Sheet'!E5))</f>
        <v/>
      </c>
      <c r="F5" s="518"/>
      <c r="G5" s="314"/>
      <c r="H5" s="519" t="s">
        <v>348</v>
      </c>
      <c r="I5" s="519"/>
      <c r="J5" s="519"/>
      <c r="K5" s="519"/>
      <c r="L5" s="519"/>
      <c r="N5" s="530" t="s">
        <v>432</v>
      </c>
      <c r="O5" s="530"/>
      <c r="P5" s="530"/>
      <c r="Q5" s="389"/>
      <c r="R5" s="519" t="s">
        <v>398</v>
      </c>
      <c r="S5" s="519"/>
      <c r="T5" s="519"/>
      <c r="U5" s="519"/>
      <c r="X5" s="386" t="s">
        <v>227</v>
      </c>
    </row>
    <row r="6" spans="1:25" ht="18.75" customHeight="1" thickBot="1" x14ac:dyDescent="0.35">
      <c r="A6" s="312" t="s">
        <v>399</v>
      </c>
      <c r="B6" s="317">
        <f>'Balance Sheet'!B6*30</f>
        <v>360</v>
      </c>
      <c r="C6" s="317">
        <f>'Balance Sheet'!C6*30</f>
        <v>360</v>
      </c>
      <c r="D6" s="317">
        <f>'Balance Sheet'!D6*30</f>
        <v>360</v>
      </c>
      <c r="E6" s="317">
        <f>'Balance Sheet'!E6*30</f>
        <v>360</v>
      </c>
      <c r="F6" s="317">
        <f>'Balance Sheet'!F6*30</f>
        <v>360</v>
      </c>
      <c r="G6" s="314"/>
      <c r="H6" s="520"/>
      <c r="I6" s="520"/>
      <c r="J6" s="520"/>
      <c r="K6" s="520"/>
      <c r="L6" s="520"/>
      <c r="N6" s="531"/>
      <c r="O6" s="531"/>
      <c r="P6" s="531"/>
      <c r="Q6" s="390"/>
      <c r="R6" s="520"/>
      <c r="S6" s="520"/>
      <c r="T6" s="520"/>
      <c r="U6" s="520"/>
      <c r="X6" s="386" t="s">
        <v>228</v>
      </c>
    </row>
    <row r="7" spans="1:25" s="392" customFormat="1" ht="25.2" thickBot="1" x14ac:dyDescent="0.35">
      <c r="A7" s="287" t="s">
        <v>344</v>
      </c>
      <c r="B7" s="321" t="str">
        <f>'Balance Sheet'!B7</f>
        <v/>
      </c>
      <c r="C7" s="321" t="str">
        <f>'Balance Sheet'!C7</f>
        <v/>
      </c>
      <c r="D7" s="321" t="str">
        <f>'Balance Sheet'!D7</f>
        <v/>
      </c>
      <c r="E7" s="321">
        <f>'Balance Sheet'!E7</f>
        <v>0</v>
      </c>
      <c r="F7" s="322" t="str">
        <f>'Balance Sheet'!F7</f>
        <v/>
      </c>
      <c r="G7" s="391"/>
      <c r="H7" s="321" t="str">
        <f>B7</f>
        <v/>
      </c>
      <c r="I7" s="321" t="str">
        <f t="shared" ref="I7:L7" si="0">C7</f>
        <v/>
      </c>
      <c r="J7" s="321" t="str">
        <f t="shared" si="0"/>
        <v/>
      </c>
      <c r="K7" s="321">
        <f t="shared" si="0"/>
        <v>0</v>
      </c>
      <c r="L7" s="322" t="str">
        <f t="shared" si="0"/>
        <v/>
      </c>
      <c r="N7" s="393" t="str">
        <f>E7&amp;" (Projection)"</f>
        <v>0 (Projection)</v>
      </c>
      <c r="O7" s="532" t="s">
        <v>332</v>
      </c>
      <c r="P7" s="532"/>
      <c r="Q7" s="394"/>
      <c r="R7" s="321" t="str">
        <f>I7</f>
        <v/>
      </c>
      <c r="S7" s="321" t="str">
        <f t="shared" ref="S7:U7" si="1">J7</f>
        <v/>
      </c>
      <c r="T7" s="321">
        <f t="shared" si="1"/>
        <v>0</v>
      </c>
      <c r="U7" s="323" t="str">
        <f t="shared" si="1"/>
        <v/>
      </c>
    </row>
    <row r="8" spans="1:25" ht="15" thickBot="1" x14ac:dyDescent="0.35">
      <c r="A8" s="355" t="s">
        <v>147</v>
      </c>
      <c r="B8" s="377"/>
      <c r="C8" s="377"/>
      <c r="D8" s="377">
        <v>139480</v>
      </c>
      <c r="E8" s="377">
        <v>335083</v>
      </c>
      <c r="F8" s="378">
        <v>418853</v>
      </c>
      <c r="G8" s="314"/>
      <c r="H8" s="329" t="str">
        <f>IFERROR(B8/B$8,"-")</f>
        <v>-</v>
      </c>
      <c r="I8" s="329" t="str">
        <f t="shared" ref="I8:L8" si="2">IFERROR(C8/C$8,"-")</f>
        <v>-</v>
      </c>
      <c r="J8" s="329">
        <f t="shared" si="2"/>
        <v>1</v>
      </c>
      <c r="K8" s="329">
        <f t="shared" si="2"/>
        <v>1</v>
      </c>
      <c r="L8" s="329">
        <f t="shared" si="2"/>
        <v>1</v>
      </c>
      <c r="N8" s="413">
        <v>0</v>
      </c>
      <c r="O8" s="525" t="str">
        <f>IFERROR(E8/N8,"")</f>
        <v/>
      </c>
      <c r="P8" s="525"/>
      <c r="Q8" s="395"/>
      <c r="R8" s="329" t="str">
        <f>IFERROR(C8/B8-1,"")</f>
        <v/>
      </c>
      <c r="S8" s="329" t="str">
        <f t="shared" ref="S8:T8" si="3">IFERROR(D8/C8-1,"")</f>
        <v/>
      </c>
      <c r="T8" s="329">
        <f t="shared" si="3"/>
        <v>1.402373100086034</v>
      </c>
      <c r="U8" s="329" t="str">
        <f>IF($U$7="","",IFERROR(F8/E8-1,""))</f>
        <v/>
      </c>
    </row>
    <row r="9" spans="1:25" x14ac:dyDescent="0.3">
      <c r="A9" s="355" t="s">
        <v>148</v>
      </c>
      <c r="B9" s="377"/>
      <c r="C9" s="377"/>
      <c r="D9" s="377">
        <v>123793</v>
      </c>
      <c r="E9" s="377">
        <v>296526</v>
      </c>
      <c r="F9" s="378">
        <v>368600</v>
      </c>
      <c r="G9" s="37"/>
      <c r="H9" s="329" t="str">
        <f t="shared" ref="H9:H10" si="4">IFERROR(B9/B$8,"-")</f>
        <v>-</v>
      </c>
      <c r="I9" s="329" t="str">
        <f t="shared" ref="I9:I10" si="5">IFERROR(C9/C$8,"-")</f>
        <v>-</v>
      </c>
      <c r="J9" s="329">
        <f t="shared" ref="J9:J10" si="6">IFERROR(D9/D$8,"-")</f>
        <v>0.88753226268999141</v>
      </c>
      <c r="K9" s="329">
        <f t="shared" ref="K9:K10" si="7">IFERROR(E9/E$8,"-")</f>
        <v>0.88493298675253595</v>
      </c>
      <c r="L9" s="329">
        <f t="shared" ref="L9:L10" si="8">IFERROR(F9/F$8,"-")</f>
        <v>0.8800223467421745</v>
      </c>
      <c r="N9" s="413">
        <v>0</v>
      </c>
      <c r="O9" s="525"/>
      <c r="P9" s="525"/>
      <c r="Q9" s="396"/>
      <c r="R9" s="329" t="str">
        <f t="shared" ref="R9:R31" si="9">IFERROR(C9/B9-1,"")</f>
        <v/>
      </c>
      <c r="S9" s="329" t="str">
        <f t="shared" ref="S9:S31" si="10">IFERROR(D9/C9-1,"")</f>
        <v/>
      </c>
      <c r="T9" s="329">
        <f t="shared" ref="T9:T31" si="11">IFERROR(E9/D9-1,"")</f>
        <v>1.3953373777192573</v>
      </c>
      <c r="U9" s="329" t="str">
        <f t="shared" ref="U9:U31" si="12">IF($U$7="","",IFERROR(F9/E9-1,""))</f>
        <v/>
      </c>
    </row>
    <row r="10" spans="1:25" x14ac:dyDescent="0.3">
      <c r="A10" s="355" t="s">
        <v>149</v>
      </c>
      <c r="B10" s="377"/>
      <c r="C10" s="377"/>
      <c r="D10" s="377"/>
      <c r="E10" s="377"/>
      <c r="F10" s="378"/>
      <c r="G10" s="37"/>
      <c r="H10" s="329" t="str">
        <f t="shared" si="4"/>
        <v>-</v>
      </c>
      <c r="I10" s="329" t="str">
        <f t="shared" si="5"/>
        <v>-</v>
      </c>
      <c r="J10" s="329">
        <f t="shared" si="6"/>
        <v>0</v>
      </c>
      <c r="K10" s="329">
        <f t="shared" si="7"/>
        <v>0</v>
      </c>
      <c r="L10" s="329">
        <f t="shared" si="8"/>
        <v>0</v>
      </c>
      <c r="N10" s="413"/>
      <c r="O10" s="522" t="str">
        <f t="shared" ref="O10:O31" si="13">IFERROR(N10/E10,"")</f>
        <v/>
      </c>
      <c r="P10" s="522"/>
      <c r="Q10" s="395"/>
      <c r="R10" s="329" t="str">
        <f t="shared" si="9"/>
        <v/>
      </c>
      <c r="S10" s="329" t="str">
        <f t="shared" si="10"/>
        <v/>
      </c>
      <c r="T10" s="329" t="str">
        <f t="shared" si="11"/>
        <v/>
      </c>
      <c r="U10" s="329" t="str">
        <f t="shared" si="12"/>
        <v/>
      </c>
    </row>
    <row r="11" spans="1:25" s="343" customFormat="1" x14ac:dyDescent="0.3">
      <c r="A11" s="397" t="s">
        <v>251</v>
      </c>
      <c r="B11" s="338">
        <f>B8-B9-B10</f>
        <v>0</v>
      </c>
      <c r="C11" s="338">
        <f t="shared" ref="C11:F11" si="14">C8-C9-C10</f>
        <v>0</v>
      </c>
      <c r="D11" s="338">
        <f t="shared" si="14"/>
        <v>15687</v>
      </c>
      <c r="E11" s="338">
        <f t="shared" si="14"/>
        <v>38557</v>
      </c>
      <c r="F11" s="339">
        <f t="shared" si="14"/>
        <v>50253</v>
      </c>
      <c r="G11" s="340"/>
      <c r="H11" s="344" t="str">
        <f t="shared" ref="H11:H31" si="15">IFERROR(B11/B$8,"-")</f>
        <v>-</v>
      </c>
      <c r="I11" s="344" t="str">
        <f t="shared" ref="I11:I31" si="16">IFERROR(C11/C$8,"-")</f>
        <v>-</v>
      </c>
      <c r="J11" s="344">
        <f t="shared" ref="J11:J31" si="17">IFERROR(D11/D$8,"-")</f>
        <v>0.1124677373100086</v>
      </c>
      <c r="K11" s="344">
        <f t="shared" ref="K11:K31" si="18">IFERROR(E11/E$8,"-")</f>
        <v>0.11506701324746406</v>
      </c>
      <c r="L11" s="344">
        <f t="shared" ref="L11:L31" si="19">IFERROR(F11/F$8,"-")</f>
        <v>0.11997765325782554</v>
      </c>
      <c r="N11" s="398">
        <f t="shared" ref="N11" si="20">N8-N9-N10</f>
        <v>0</v>
      </c>
      <c r="O11" s="523"/>
      <c r="P11" s="523"/>
      <c r="Q11" s="399"/>
      <c r="R11" s="344" t="str">
        <f t="shared" si="9"/>
        <v/>
      </c>
      <c r="S11" s="344" t="str">
        <f t="shared" si="10"/>
        <v/>
      </c>
      <c r="T11" s="344">
        <f t="shared" si="11"/>
        <v>1.4578950723529038</v>
      </c>
      <c r="U11" s="344" t="str">
        <f t="shared" si="12"/>
        <v/>
      </c>
    </row>
    <row r="12" spans="1:25" x14ac:dyDescent="0.3">
      <c r="A12" s="355" t="s">
        <v>151</v>
      </c>
      <c r="B12" s="377"/>
      <c r="C12" s="377"/>
      <c r="D12" s="377">
        <v>2974</v>
      </c>
      <c r="E12" s="377">
        <v>3235</v>
      </c>
      <c r="F12" s="378">
        <v>8377</v>
      </c>
      <c r="G12" s="37"/>
      <c r="H12" s="329" t="str">
        <f t="shared" si="15"/>
        <v>-</v>
      </c>
      <c r="I12" s="329" t="str">
        <f t="shared" si="16"/>
        <v>-</v>
      </c>
      <c r="J12" s="329">
        <f t="shared" si="17"/>
        <v>2.1322053340980786E-2</v>
      </c>
      <c r="K12" s="329">
        <f t="shared" si="18"/>
        <v>9.6543244509569269E-3</v>
      </c>
      <c r="L12" s="329">
        <f t="shared" si="19"/>
        <v>1.999985675165273E-2</v>
      </c>
      <c r="N12" s="413"/>
      <c r="O12" s="526"/>
      <c r="P12" s="526"/>
      <c r="Q12" s="396"/>
      <c r="R12" s="329" t="str">
        <f t="shared" si="9"/>
        <v/>
      </c>
      <c r="S12" s="329" t="str">
        <f t="shared" si="10"/>
        <v/>
      </c>
      <c r="T12" s="329">
        <f t="shared" si="11"/>
        <v>8.7760591795561504E-2</v>
      </c>
      <c r="U12" s="329" t="str">
        <f t="shared" si="12"/>
        <v/>
      </c>
    </row>
    <row r="13" spans="1:25" x14ac:dyDescent="0.3">
      <c r="A13" s="355" t="s">
        <v>150</v>
      </c>
      <c r="B13" s="377"/>
      <c r="C13" s="377"/>
      <c r="D13" s="377">
        <v>6907</v>
      </c>
      <c r="E13" s="377">
        <v>6953</v>
      </c>
      <c r="F13" s="378">
        <v>8377</v>
      </c>
      <c r="G13" s="37"/>
      <c r="H13" s="329" t="str">
        <f t="shared" si="15"/>
        <v>-</v>
      </c>
      <c r="I13" s="329" t="str">
        <f t="shared" si="16"/>
        <v>-</v>
      </c>
      <c r="J13" s="329">
        <f t="shared" si="17"/>
        <v>4.9519644393461425E-2</v>
      </c>
      <c r="K13" s="329">
        <f t="shared" si="18"/>
        <v>2.0750082815302478E-2</v>
      </c>
      <c r="L13" s="329">
        <f t="shared" si="19"/>
        <v>1.999985675165273E-2</v>
      </c>
      <c r="N13" s="413"/>
      <c r="O13" s="526">
        <f t="shared" si="13"/>
        <v>0</v>
      </c>
      <c r="P13" s="526"/>
      <c r="Q13" s="396"/>
      <c r="R13" s="329" t="str">
        <f t="shared" si="9"/>
        <v/>
      </c>
      <c r="S13" s="329" t="str">
        <f t="shared" si="10"/>
        <v/>
      </c>
      <c r="T13" s="329">
        <f t="shared" si="11"/>
        <v>6.6599102359925499E-3</v>
      </c>
      <c r="U13" s="329" t="str">
        <f t="shared" si="12"/>
        <v/>
      </c>
    </row>
    <row r="14" spans="1:25" x14ac:dyDescent="0.3">
      <c r="A14" s="355" t="s">
        <v>152</v>
      </c>
      <c r="B14" s="377"/>
      <c r="C14" s="377"/>
      <c r="D14" s="377"/>
      <c r="E14" s="377"/>
      <c r="F14" s="378"/>
      <c r="G14" s="37"/>
      <c r="H14" s="329" t="str">
        <f t="shared" si="15"/>
        <v>-</v>
      </c>
      <c r="I14" s="329" t="str">
        <f t="shared" si="16"/>
        <v>-</v>
      </c>
      <c r="J14" s="329">
        <f t="shared" si="17"/>
        <v>0</v>
      </c>
      <c r="K14" s="329">
        <f t="shared" si="18"/>
        <v>0</v>
      </c>
      <c r="L14" s="329">
        <f t="shared" si="19"/>
        <v>0</v>
      </c>
      <c r="N14" s="413"/>
      <c r="O14" s="526" t="str">
        <f t="shared" si="13"/>
        <v/>
      </c>
      <c r="P14" s="526"/>
      <c r="Q14" s="396"/>
      <c r="R14" s="329" t="str">
        <f t="shared" si="9"/>
        <v/>
      </c>
      <c r="S14" s="329" t="str">
        <f t="shared" si="10"/>
        <v/>
      </c>
      <c r="T14" s="329" t="str">
        <f t="shared" si="11"/>
        <v/>
      </c>
      <c r="U14" s="329" t="str">
        <f t="shared" si="12"/>
        <v/>
      </c>
    </row>
    <row r="15" spans="1:25" x14ac:dyDescent="0.3">
      <c r="A15" s="355" t="s">
        <v>363</v>
      </c>
      <c r="B15" s="377"/>
      <c r="C15" s="377"/>
      <c r="D15" s="377"/>
      <c r="E15" s="377"/>
      <c r="F15" s="378"/>
      <c r="G15" s="37"/>
      <c r="H15" s="329" t="str">
        <f t="shared" si="15"/>
        <v>-</v>
      </c>
      <c r="I15" s="329" t="str">
        <f t="shared" si="16"/>
        <v>-</v>
      </c>
      <c r="J15" s="329">
        <f t="shared" si="17"/>
        <v>0</v>
      </c>
      <c r="K15" s="329">
        <f t="shared" si="18"/>
        <v>0</v>
      </c>
      <c r="L15" s="329">
        <f t="shared" si="19"/>
        <v>0</v>
      </c>
      <c r="N15" s="413"/>
      <c r="O15" s="526"/>
      <c r="P15" s="526"/>
      <c r="Q15" s="396"/>
      <c r="R15" s="329" t="str">
        <f t="shared" si="9"/>
        <v/>
      </c>
      <c r="S15" s="329" t="str">
        <f t="shared" si="10"/>
        <v/>
      </c>
      <c r="T15" s="329" t="str">
        <f t="shared" si="11"/>
        <v/>
      </c>
      <c r="U15" s="329" t="str">
        <f t="shared" si="12"/>
        <v/>
      </c>
    </row>
    <row r="16" spans="1:25" x14ac:dyDescent="0.3">
      <c r="A16" s="355" t="s">
        <v>362</v>
      </c>
      <c r="B16" s="377"/>
      <c r="C16" s="377"/>
      <c r="D16" s="377"/>
      <c r="E16" s="377"/>
      <c r="F16" s="378"/>
      <c r="G16" s="37"/>
      <c r="H16" s="329" t="str">
        <f t="shared" ref="H16" si="21">IFERROR(B16/B$8,"-")</f>
        <v>-</v>
      </c>
      <c r="I16" s="329" t="str">
        <f t="shared" ref="I16" si="22">IFERROR(C16/C$8,"-")</f>
        <v>-</v>
      </c>
      <c r="J16" s="329">
        <f t="shared" ref="J16" si="23">IFERROR(D16/D$8,"-")</f>
        <v>0</v>
      </c>
      <c r="K16" s="329">
        <f t="shared" ref="K16" si="24">IFERROR(E16/E$8,"-")</f>
        <v>0</v>
      </c>
      <c r="L16" s="329">
        <f t="shared" ref="L16" si="25">IFERROR(F16/F$8,"-")</f>
        <v>0</v>
      </c>
      <c r="N16" s="413"/>
      <c r="O16" s="400"/>
      <c r="P16" s="400"/>
      <c r="Q16" s="396"/>
      <c r="R16" s="329" t="str">
        <f t="shared" si="9"/>
        <v/>
      </c>
      <c r="S16" s="329" t="str">
        <f t="shared" si="10"/>
        <v/>
      </c>
      <c r="T16" s="329" t="str">
        <f t="shared" si="11"/>
        <v/>
      </c>
      <c r="U16" s="329" t="str">
        <f t="shared" si="12"/>
        <v/>
      </c>
    </row>
    <row r="17" spans="1:21" x14ac:dyDescent="0.3">
      <c r="A17" s="355" t="s">
        <v>353</v>
      </c>
      <c r="B17" s="377"/>
      <c r="C17" s="377"/>
      <c r="D17" s="377"/>
      <c r="E17" s="377"/>
      <c r="F17" s="378"/>
      <c r="G17" s="37"/>
      <c r="H17" s="329" t="str">
        <f t="shared" ref="H17" si="26">IFERROR(B17/B$8,"-")</f>
        <v>-</v>
      </c>
      <c r="I17" s="329" t="str">
        <f t="shared" ref="I17" si="27">IFERROR(C17/C$8,"-")</f>
        <v>-</v>
      </c>
      <c r="J17" s="329">
        <f t="shared" ref="J17" si="28">IFERROR(D17/D$8,"-")</f>
        <v>0</v>
      </c>
      <c r="K17" s="329">
        <f t="shared" ref="K17" si="29">IFERROR(E17/E$8,"-")</f>
        <v>0</v>
      </c>
      <c r="L17" s="329">
        <f t="shared" ref="L17" si="30">IFERROR(F17/F$8,"-")</f>
        <v>0</v>
      </c>
      <c r="N17" s="413"/>
      <c r="O17" s="400"/>
      <c r="P17" s="400"/>
      <c r="Q17" s="396"/>
      <c r="R17" s="329" t="str">
        <f t="shared" si="9"/>
        <v/>
      </c>
      <c r="S17" s="329" t="str">
        <f t="shared" si="10"/>
        <v/>
      </c>
      <c r="T17" s="329" t="str">
        <f t="shared" si="11"/>
        <v/>
      </c>
      <c r="U17" s="329" t="str">
        <f t="shared" si="12"/>
        <v/>
      </c>
    </row>
    <row r="18" spans="1:21" x14ac:dyDescent="0.3">
      <c r="A18" s="355" t="s">
        <v>345</v>
      </c>
      <c r="B18" s="377"/>
      <c r="C18" s="377"/>
      <c r="D18" s="377">
        <v>504</v>
      </c>
      <c r="E18" s="377">
        <v>746</v>
      </c>
      <c r="F18" s="378">
        <v>2095</v>
      </c>
      <c r="G18" s="37"/>
      <c r="H18" s="329" t="str">
        <f t="shared" ref="H18:L19" si="31">IFERROR(B18/B$8,"-")</f>
        <v>-</v>
      </c>
      <c r="I18" s="329" t="str">
        <f t="shared" si="31"/>
        <v>-</v>
      </c>
      <c r="J18" s="329">
        <f t="shared" si="31"/>
        <v>3.613421279036421E-3</v>
      </c>
      <c r="K18" s="329">
        <f t="shared" si="31"/>
        <v>2.2263140774076871E-3</v>
      </c>
      <c r="L18" s="329">
        <f t="shared" si="31"/>
        <v>5.0017547922540841E-3</v>
      </c>
      <c r="N18" s="413"/>
      <c r="O18" s="522">
        <f t="shared" si="13"/>
        <v>0</v>
      </c>
      <c r="P18" s="522"/>
      <c r="Q18" s="395"/>
      <c r="R18" s="329" t="str">
        <f t="shared" si="9"/>
        <v/>
      </c>
      <c r="S18" s="329" t="str">
        <f t="shared" si="10"/>
        <v/>
      </c>
      <c r="T18" s="329">
        <f t="shared" si="11"/>
        <v>0.48015873015873023</v>
      </c>
      <c r="U18" s="329" t="str">
        <f t="shared" si="12"/>
        <v/>
      </c>
    </row>
    <row r="19" spans="1:21" x14ac:dyDescent="0.3">
      <c r="A19" s="401" t="s">
        <v>232</v>
      </c>
      <c r="B19" s="402">
        <f>SUM(B12:B18)</f>
        <v>0</v>
      </c>
      <c r="C19" s="402">
        <f>SUM(C12:C18)</f>
        <v>0</v>
      </c>
      <c r="D19" s="402">
        <f>SUM(D12:D18)</f>
        <v>10385</v>
      </c>
      <c r="E19" s="402">
        <f>SUM(E12:E18)</f>
        <v>10934</v>
      </c>
      <c r="F19" s="403">
        <f>SUM(F12:F18)</f>
        <v>18849</v>
      </c>
      <c r="G19" s="37"/>
      <c r="H19" s="404" t="str">
        <f t="shared" si="31"/>
        <v>-</v>
      </c>
      <c r="I19" s="404" t="str">
        <f t="shared" si="31"/>
        <v>-</v>
      </c>
      <c r="J19" s="404">
        <f t="shared" si="31"/>
        <v>7.4455119013478635E-2</v>
      </c>
      <c r="K19" s="404">
        <f t="shared" si="31"/>
        <v>3.2630721343667089E-2</v>
      </c>
      <c r="L19" s="404">
        <f t="shared" si="31"/>
        <v>4.5001468295559538E-2</v>
      </c>
      <c r="N19" s="405">
        <f>SUM(N12:N18)</f>
        <v>0</v>
      </c>
      <c r="O19" s="524"/>
      <c r="P19" s="524"/>
      <c r="Q19" s="399"/>
      <c r="R19" s="404" t="str">
        <f t="shared" si="9"/>
        <v/>
      </c>
      <c r="S19" s="404" t="str">
        <f t="shared" si="10"/>
        <v/>
      </c>
      <c r="T19" s="404">
        <f t="shared" si="11"/>
        <v>5.2864708714492004E-2</v>
      </c>
      <c r="U19" s="404" t="str">
        <f t="shared" si="12"/>
        <v/>
      </c>
    </row>
    <row r="20" spans="1:21" s="343" customFormat="1" x14ac:dyDescent="0.3">
      <c r="A20" s="397" t="s">
        <v>346</v>
      </c>
      <c r="B20" s="338">
        <f>B11-B19</f>
        <v>0</v>
      </c>
      <c r="C20" s="338">
        <f>C11-C19</f>
        <v>0</v>
      </c>
      <c r="D20" s="338">
        <f>D11-D19</f>
        <v>5302</v>
      </c>
      <c r="E20" s="338">
        <f>E11-E19</f>
        <v>27623</v>
      </c>
      <c r="F20" s="338">
        <f>F11-F19</f>
        <v>31404</v>
      </c>
      <c r="G20" s="340"/>
      <c r="H20" s="344" t="str">
        <f t="shared" si="15"/>
        <v>-</v>
      </c>
      <c r="I20" s="344" t="str">
        <f t="shared" si="16"/>
        <v>-</v>
      </c>
      <c r="J20" s="344">
        <f t="shared" si="17"/>
        <v>3.8012618296529965E-2</v>
      </c>
      <c r="K20" s="344">
        <f t="shared" si="18"/>
        <v>8.2436291903796977E-2</v>
      </c>
      <c r="L20" s="344">
        <f t="shared" si="19"/>
        <v>7.4976184962266004E-2</v>
      </c>
      <c r="N20" s="398">
        <f>N11-N19</f>
        <v>0</v>
      </c>
      <c r="O20" s="523"/>
      <c r="P20" s="523"/>
      <c r="Q20" s="399"/>
      <c r="R20" s="344" t="str">
        <f t="shared" si="9"/>
        <v/>
      </c>
      <c r="S20" s="344" t="str">
        <f t="shared" si="10"/>
        <v/>
      </c>
      <c r="T20" s="344">
        <f t="shared" si="11"/>
        <v>4.2099207846095812</v>
      </c>
      <c r="U20" s="344" t="str">
        <f t="shared" si="12"/>
        <v/>
      </c>
    </row>
    <row r="21" spans="1:21" x14ac:dyDescent="0.3">
      <c r="A21" s="355" t="s">
        <v>233</v>
      </c>
      <c r="B21" s="377"/>
      <c r="C21" s="377"/>
      <c r="D21" s="377">
        <v>1151</v>
      </c>
      <c r="E21" s="377">
        <v>3186</v>
      </c>
      <c r="F21" s="378">
        <v>4188</v>
      </c>
      <c r="G21" s="37"/>
      <c r="H21" s="329" t="str">
        <f t="shared" si="15"/>
        <v>-</v>
      </c>
      <c r="I21" s="329" t="str">
        <f t="shared" si="16"/>
        <v>-</v>
      </c>
      <c r="J21" s="329">
        <f t="shared" si="17"/>
        <v>8.2520791511327789E-3</v>
      </c>
      <c r="K21" s="329">
        <f t="shared" si="18"/>
        <v>9.5080920249609804E-3</v>
      </c>
      <c r="L21" s="329">
        <f t="shared" si="19"/>
        <v>9.9987346395990963E-3</v>
      </c>
      <c r="N21" s="413"/>
      <c r="O21" s="526"/>
      <c r="P21" s="526"/>
      <c r="Q21" s="396"/>
      <c r="R21" s="329" t="str">
        <f t="shared" si="9"/>
        <v/>
      </c>
      <c r="S21" s="329" t="str">
        <f t="shared" si="10"/>
        <v/>
      </c>
      <c r="T21" s="329">
        <f t="shared" si="11"/>
        <v>1.7680278019113813</v>
      </c>
      <c r="U21" s="329" t="str">
        <f t="shared" si="12"/>
        <v/>
      </c>
    </row>
    <row r="22" spans="1:21" x14ac:dyDescent="0.3">
      <c r="A22" s="355" t="s">
        <v>234</v>
      </c>
      <c r="B22" s="377"/>
      <c r="C22" s="377"/>
      <c r="D22" s="377"/>
      <c r="E22" s="377"/>
      <c r="F22" s="378"/>
      <c r="G22" s="37"/>
      <c r="H22" s="329" t="str">
        <f t="shared" si="15"/>
        <v>-</v>
      </c>
      <c r="I22" s="329" t="str">
        <f t="shared" si="16"/>
        <v>-</v>
      </c>
      <c r="J22" s="329">
        <f t="shared" si="17"/>
        <v>0</v>
      </c>
      <c r="K22" s="329">
        <f t="shared" si="18"/>
        <v>0</v>
      </c>
      <c r="L22" s="329">
        <f t="shared" si="19"/>
        <v>0</v>
      </c>
      <c r="N22" s="413"/>
      <c r="O22" s="526" t="str">
        <f t="shared" si="13"/>
        <v/>
      </c>
      <c r="P22" s="526"/>
      <c r="Q22" s="396"/>
      <c r="R22" s="329" t="str">
        <f t="shared" si="9"/>
        <v/>
      </c>
      <c r="S22" s="329" t="str">
        <f t="shared" si="10"/>
        <v/>
      </c>
      <c r="T22" s="329" t="str">
        <f t="shared" si="11"/>
        <v/>
      </c>
      <c r="U22" s="329" t="str">
        <f t="shared" si="12"/>
        <v/>
      </c>
    </row>
    <row r="23" spans="1:21" x14ac:dyDescent="0.3">
      <c r="A23" s="355" t="s">
        <v>235</v>
      </c>
      <c r="B23" s="377"/>
      <c r="C23" s="377"/>
      <c r="D23" s="377"/>
      <c r="E23" s="377"/>
      <c r="F23" s="378"/>
      <c r="G23" s="37"/>
      <c r="H23" s="329" t="str">
        <f t="shared" si="15"/>
        <v>-</v>
      </c>
      <c r="I23" s="329" t="str">
        <f t="shared" si="16"/>
        <v>-</v>
      </c>
      <c r="J23" s="329">
        <f t="shared" si="17"/>
        <v>0</v>
      </c>
      <c r="K23" s="329">
        <f t="shared" si="18"/>
        <v>0</v>
      </c>
      <c r="L23" s="329">
        <f t="shared" si="19"/>
        <v>0</v>
      </c>
      <c r="N23" s="413"/>
      <c r="O23" s="526" t="str">
        <f t="shared" si="13"/>
        <v/>
      </c>
      <c r="P23" s="526"/>
      <c r="Q23" s="396"/>
      <c r="R23" s="329" t="str">
        <f t="shared" si="9"/>
        <v/>
      </c>
      <c r="S23" s="329" t="str">
        <f t="shared" si="10"/>
        <v/>
      </c>
      <c r="T23" s="329" t="str">
        <f t="shared" si="11"/>
        <v/>
      </c>
      <c r="U23" s="329" t="str">
        <f t="shared" si="12"/>
        <v/>
      </c>
    </row>
    <row r="24" spans="1:21" ht="15" thickBot="1" x14ac:dyDescent="0.35">
      <c r="A24" s="355" t="s">
        <v>347</v>
      </c>
      <c r="B24" s="377"/>
      <c r="C24" s="377"/>
      <c r="D24" s="377"/>
      <c r="E24" s="377"/>
      <c r="F24" s="378"/>
      <c r="G24" s="37"/>
      <c r="H24" s="329" t="str">
        <f t="shared" si="15"/>
        <v>-</v>
      </c>
      <c r="I24" s="329" t="str">
        <f t="shared" si="16"/>
        <v>-</v>
      </c>
      <c r="J24" s="329">
        <f t="shared" si="17"/>
        <v>0</v>
      </c>
      <c r="K24" s="329">
        <f t="shared" si="18"/>
        <v>0</v>
      </c>
      <c r="L24" s="329">
        <f t="shared" si="19"/>
        <v>0</v>
      </c>
      <c r="N24" s="413"/>
      <c r="O24" s="522" t="str">
        <f t="shared" si="13"/>
        <v/>
      </c>
      <c r="P24" s="522"/>
      <c r="Q24" s="395"/>
      <c r="R24" s="329" t="str">
        <f t="shared" si="9"/>
        <v/>
      </c>
      <c r="S24" s="329" t="str">
        <f t="shared" si="10"/>
        <v/>
      </c>
      <c r="T24" s="329" t="str">
        <f t="shared" si="11"/>
        <v/>
      </c>
      <c r="U24" s="329" t="str">
        <f t="shared" si="12"/>
        <v/>
      </c>
    </row>
    <row r="25" spans="1:21" s="343" customFormat="1" ht="15" thickBot="1" x14ac:dyDescent="0.35">
      <c r="A25" s="406" t="s">
        <v>252</v>
      </c>
      <c r="B25" s="407">
        <f>B20+B22+B23-B21-B24</f>
        <v>0</v>
      </c>
      <c r="C25" s="407">
        <f t="shared" ref="C25:F25" si="32">C20+C22+C23-C21-C24</f>
        <v>0</v>
      </c>
      <c r="D25" s="407">
        <f t="shared" si="32"/>
        <v>4151</v>
      </c>
      <c r="E25" s="407">
        <f t="shared" si="32"/>
        <v>24437</v>
      </c>
      <c r="F25" s="407">
        <f t="shared" si="32"/>
        <v>27216</v>
      </c>
      <c r="G25" s="340"/>
      <c r="H25" s="351" t="str">
        <f t="shared" si="15"/>
        <v>-</v>
      </c>
      <c r="I25" s="351" t="str">
        <f t="shared" si="16"/>
        <v>-</v>
      </c>
      <c r="J25" s="351">
        <f t="shared" si="17"/>
        <v>2.976053914539719E-2</v>
      </c>
      <c r="K25" s="351">
        <f t="shared" si="18"/>
        <v>7.2928199878835989E-2</v>
      </c>
      <c r="L25" s="351">
        <f t="shared" si="19"/>
        <v>6.4977450322666899E-2</v>
      </c>
      <c r="N25" s="408">
        <f t="shared" ref="N25" si="33">N20+N22+N23-N21-N24</f>
        <v>0</v>
      </c>
      <c r="O25" s="525" t="str">
        <f>IFERROR(E25/N25,"")</f>
        <v/>
      </c>
      <c r="P25" s="525"/>
      <c r="Q25" s="399"/>
      <c r="R25" s="351" t="str">
        <f t="shared" si="9"/>
        <v/>
      </c>
      <c r="S25" s="351" t="str">
        <f t="shared" si="10"/>
        <v/>
      </c>
      <c r="T25" s="351">
        <f t="shared" si="11"/>
        <v>4.8870151770657673</v>
      </c>
      <c r="U25" s="351" t="str">
        <f t="shared" si="12"/>
        <v/>
      </c>
    </row>
    <row r="26" spans="1:21" ht="15.6" thickTop="1" thickBot="1" x14ac:dyDescent="0.35">
      <c r="A26" s="355" t="s">
        <v>236</v>
      </c>
      <c r="B26" s="377"/>
      <c r="C26" s="377"/>
      <c r="D26" s="377">
        <v>323</v>
      </c>
      <c r="E26" s="377">
        <v>300</v>
      </c>
      <c r="F26" s="378">
        <v>350</v>
      </c>
      <c r="G26" s="37"/>
      <c r="H26" s="329" t="str">
        <f t="shared" si="15"/>
        <v>-</v>
      </c>
      <c r="I26" s="329" t="str">
        <f t="shared" si="16"/>
        <v>-</v>
      </c>
      <c r="J26" s="329">
        <f t="shared" si="17"/>
        <v>2.3157441927158014E-3</v>
      </c>
      <c r="K26" s="329">
        <f t="shared" si="18"/>
        <v>8.9530056732212615E-4</v>
      </c>
      <c r="L26" s="329">
        <f t="shared" si="19"/>
        <v>8.3561535908779449E-4</v>
      </c>
      <c r="N26" s="413"/>
      <c r="O26" s="527"/>
      <c r="P26" s="527"/>
      <c r="Q26" s="395"/>
      <c r="R26" s="329" t="str">
        <f t="shared" si="9"/>
        <v/>
      </c>
      <c r="S26" s="329" t="str">
        <f t="shared" si="10"/>
        <v/>
      </c>
      <c r="T26" s="329">
        <f t="shared" si="11"/>
        <v>-7.1207430340557321E-2</v>
      </c>
      <c r="U26" s="329" t="str">
        <f t="shared" si="12"/>
        <v/>
      </c>
    </row>
    <row r="27" spans="1:21" s="343" customFormat="1" ht="15" thickBot="1" x14ac:dyDescent="0.35">
      <c r="A27" s="409" t="s">
        <v>253</v>
      </c>
      <c r="B27" s="350">
        <f>B25-B26</f>
        <v>0</v>
      </c>
      <c r="C27" s="350">
        <f t="shared" ref="C27:F27" si="34">C25-C26</f>
        <v>0</v>
      </c>
      <c r="D27" s="350">
        <f t="shared" si="34"/>
        <v>3828</v>
      </c>
      <c r="E27" s="350">
        <f t="shared" si="34"/>
        <v>24137</v>
      </c>
      <c r="F27" s="356">
        <f t="shared" si="34"/>
        <v>26866</v>
      </c>
      <c r="G27" s="340"/>
      <c r="H27" s="351" t="str">
        <f t="shared" si="15"/>
        <v>-</v>
      </c>
      <c r="I27" s="351" t="str">
        <f t="shared" si="16"/>
        <v>-</v>
      </c>
      <c r="J27" s="351">
        <f t="shared" si="17"/>
        <v>2.7444794952681387E-2</v>
      </c>
      <c r="K27" s="351">
        <f t="shared" si="18"/>
        <v>7.2032899311513868E-2</v>
      </c>
      <c r="L27" s="351">
        <f t="shared" si="19"/>
        <v>6.4141834963579114E-2</v>
      </c>
      <c r="N27" s="410">
        <f t="shared" ref="N27" si="35">N25-N26</f>
        <v>0</v>
      </c>
      <c r="O27" s="525"/>
      <c r="P27" s="525"/>
      <c r="Q27" s="399"/>
      <c r="R27" s="351" t="str">
        <f t="shared" si="9"/>
        <v/>
      </c>
      <c r="S27" s="351" t="str">
        <f t="shared" si="10"/>
        <v/>
      </c>
      <c r="T27" s="351">
        <f t="shared" si="11"/>
        <v>5.3053814002089865</v>
      </c>
      <c r="U27" s="351" t="str">
        <f t="shared" si="12"/>
        <v/>
      </c>
    </row>
    <row r="28" spans="1:21" ht="15" thickTop="1" x14ac:dyDescent="0.3">
      <c r="A28" s="355" t="s">
        <v>237</v>
      </c>
      <c r="B28" s="377"/>
      <c r="C28" s="377"/>
      <c r="D28" s="377"/>
      <c r="E28" s="377"/>
      <c r="F28" s="378"/>
      <c r="G28" s="37"/>
      <c r="H28" s="329" t="str">
        <f t="shared" si="15"/>
        <v>-</v>
      </c>
      <c r="I28" s="329" t="str">
        <f t="shared" si="16"/>
        <v>-</v>
      </c>
      <c r="J28" s="329">
        <f t="shared" si="17"/>
        <v>0</v>
      </c>
      <c r="K28" s="329">
        <f t="shared" si="18"/>
        <v>0</v>
      </c>
      <c r="L28" s="329">
        <f t="shared" si="19"/>
        <v>0</v>
      </c>
      <c r="N28" s="413"/>
      <c r="O28" s="528" t="str">
        <f t="shared" si="13"/>
        <v/>
      </c>
      <c r="P28" s="528"/>
      <c r="Q28" s="395"/>
      <c r="R28" s="329" t="str">
        <f t="shared" si="9"/>
        <v/>
      </c>
      <c r="S28" s="329" t="str">
        <f t="shared" si="10"/>
        <v/>
      </c>
      <c r="T28" s="329" t="str">
        <f t="shared" si="11"/>
        <v/>
      </c>
      <c r="U28" s="329" t="str">
        <f t="shared" si="12"/>
        <v/>
      </c>
    </row>
    <row r="29" spans="1:21" x14ac:dyDescent="0.3">
      <c r="A29" s="355" t="s">
        <v>238</v>
      </c>
      <c r="B29" s="377"/>
      <c r="C29" s="377"/>
      <c r="D29" s="377"/>
      <c r="E29" s="377"/>
      <c r="F29" s="378"/>
      <c r="G29" s="37"/>
      <c r="H29" s="329" t="str">
        <f t="shared" si="15"/>
        <v>-</v>
      </c>
      <c r="I29" s="329" t="str">
        <f t="shared" si="16"/>
        <v>-</v>
      </c>
      <c r="J29" s="329">
        <f t="shared" si="17"/>
        <v>0</v>
      </c>
      <c r="K29" s="329">
        <f t="shared" si="18"/>
        <v>0</v>
      </c>
      <c r="L29" s="329">
        <f t="shared" si="19"/>
        <v>0</v>
      </c>
      <c r="N29" s="413"/>
      <c r="O29" s="526" t="str">
        <f t="shared" si="13"/>
        <v/>
      </c>
      <c r="P29" s="526"/>
      <c r="Q29" s="396"/>
      <c r="R29" s="329" t="str">
        <f t="shared" si="9"/>
        <v/>
      </c>
      <c r="S29" s="329" t="str">
        <f t="shared" si="10"/>
        <v/>
      </c>
      <c r="T29" s="329" t="str">
        <f t="shared" si="11"/>
        <v/>
      </c>
      <c r="U29" s="329" t="str">
        <f t="shared" si="12"/>
        <v/>
      </c>
    </row>
    <row r="30" spans="1:21" x14ac:dyDescent="0.3">
      <c r="A30" s="355" t="s">
        <v>239</v>
      </c>
      <c r="B30" s="377"/>
      <c r="C30" s="377"/>
      <c r="D30" s="377"/>
      <c r="E30" s="377"/>
      <c r="F30" s="378"/>
      <c r="G30" s="37"/>
      <c r="H30" s="329" t="str">
        <f t="shared" si="15"/>
        <v>-</v>
      </c>
      <c r="I30" s="329" t="str">
        <f t="shared" si="16"/>
        <v>-</v>
      </c>
      <c r="J30" s="329">
        <f t="shared" si="17"/>
        <v>0</v>
      </c>
      <c r="K30" s="329">
        <f t="shared" si="18"/>
        <v>0</v>
      </c>
      <c r="L30" s="329">
        <f t="shared" si="19"/>
        <v>0</v>
      </c>
      <c r="N30" s="413"/>
      <c r="O30" s="522" t="str">
        <f t="shared" si="13"/>
        <v/>
      </c>
      <c r="P30" s="522"/>
      <c r="Q30" s="395"/>
      <c r="R30" s="329" t="str">
        <f t="shared" si="9"/>
        <v/>
      </c>
      <c r="S30" s="329" t="str">
        <f t="shared" si="10"/>
        <v/>
      </c>
      <c r="T30" s="329" t="str">
        <f t="shared" si="11"/>
        <v/>
      </c>
      <c r="U30" s="329" t="str">
        <f t="shared" si="12"/>
        <v/>
      </c>
    </row>
    <row r="31" spans="1:21" s="343" customFormat="1" ht="15" thickBot="1" x14ac:dyDescent="0.35">
      <c r="A31" s="411" t="s">
        <v>153</v>
      </c>
      <c r="B31" s="350">
        <f>B27+B28-B29-B30</f>
        <v>0</v>
      </c>
      <c r="C31" s="350">
        <f t="shared" ref="C31:F31" si="36">C27+C28-C29-C30</f>
        <v>0</v>
      </c>
      <c r="D31" s="350">
        <f t="shared" si="36"/>
        <v>3828</v>
      </c>
      <c r="E31" s="350">
        <f t="shared" si="36"/>
        <v>24137</v>
      </c>
      <c r="F31" s="350">
        <f t="shared" si="36"/>
        <v>26866</v>
      </c>
      <c r="G31" s="340"/>
      <c r="H31" s="351" t="str">
        <f t="shared" si="15"/>
        <v>-</v>
      </c>
      <c r="I31" s="351" t="str">
        <f t="shared" si="16"/>
        <v>-</v>
      </c>
      <c r="J31" s="351">
        <f t="shared" si="17"/>
        <v>2.7444794952681387E-2</v>
      </c>
      <c r="K31" s="351">
        <f t="shared" si="18"/>
        <v>7.2032899311513868E-2</v>
      </c>
      <c r="L31" s="351">
        <f t="shared" si="19"/>
        <v>6.4141834963579114E-2</v>
      </c>
      <c r="N31" s="410">
        <f t="shared" ref="N31" si="37">N27+N28-N29-N30</f>
        <v>0</v>
      </c>
      <c r="O31" s="521">
        <f t="shared" si="13"/>
        <v>0</v>
      </c>
      <c r="P31" s="521"/>
      <c r="Q31" s="399"/>
      <c r="R31" s="351" t="str">
        <f t="shared" si="9"/>
        <v/>
      </c>
      <c r="S31" s="351" t="str">
        <f t="shared" si="10"/>
        <v/>
      </c>
      <c r="T31" s="351">
        <f t="shared" si="11"/>
        <v>5.3053814002089865</v>
      </c>
      <c r="U31" s="351" t="str">
        <f t="shared" si="12"/>
        <v/>
      </c>
    </row>
    <row r="32" spans="1:21" ht="15" thickTop="1" x14ac:dyDescent="0.3">
      <c r="A32" s="37"/>
      <c r="B32" s="412"/>
      <c r="C32" s="412"/>
      <c r="D32" s="412"/>
      <c r="E32" s="412"/>
      <c r="F32" s="412"/>
      <c r="G32" s="37"/>
    </row>
    <row r="33" spans="1:7" x14ac:dyDescent="0.3">
      <c r="A33" s="37"/>
      <c r="B33" s="412"/>
      <c r="C33" s="412"/>
      <c r="D33" s="412"/>
      <c r="E33" s="412"/>
      <c r="F33" s="412"/>
      <c r="G33" s="37"/>
    </row>
    <row r="34" spans="1:7" x14ac:dyDescent="0.3">
      <c r="A34" s="37"/>
      <c r="B34" s="412"/>
      <c r="C34" s="412"/>
      <c r="D34" s="412"/>
      <c r="E34" s="412"/>
      <c r="F34" s="412"/>
      <c r="G34" s="37"/>
    </row>
    <row r="35" spans="1:7" x14ac:dyDescent="0.3">
      <c r="A35" s="37"/>
      <c r="B35" s="412"/>
      <c r="C35" s="412"/>
      <c r="D35" s="412"/>
      <c r="E35" s="412"/>
      <c r="F35" s="412"/>
      <c r="G35" s="37"/>
    </row>
    <row r="36" spans="1:7" x14ac:dyDescent="0.3">
      <c r="A36" s="37"/>
      <c r="B36" s="412"/>
      <c r="C36" s="412"/>
      <c r="D36" s="412"/>
      <c r="E36" s="412"/>
      <c r="F36" s="412"/>
      <c r="G36" s="37"/>
    </row>
    <row r="37" spans="1:7" x14ac:dyDescent="0.3">
      <c r="A37" s="37"/>
      <c r="B37" s="412"/>
      <c r="C37" s="412"/>
      <c r="D37" s="412"/>
      <c r="E37" s="412"/>
      <c r="F37" s="412"/>
      <c r="G37" s="37"/>
    </row>
    <row r="38" spans="1:7" x14ac:dyDescent="0.3">
      <c r="A38" s="37"/>
      <c r="B38" s="412"/>
      <c r="C38" s="412"/>
      <c r="D38" s="412"/>
      <c r="E38" s="412"/>
      <c r="F38" s="412"/>
      <c r="G38" s="37"/>
    </row>
    <row r="39" spans="1:7" x14ac:dyDescent="0.3">
      <c r="A39" s="37"/>
      <c r="B39" s="412"/>
      <c r="C39" s="412"/>
      <c r="D39" s="412"/>
      <c r="E39" s="412"/>
      <c r="F39" s="412"/>
      <c r="G39" s="37"/>
    </row>
    <row r="40" spans="1:7" x14ac:dyDescent="0.3">
      <c r="A40" s="37"/>
      <c r="B40" s="412"/>
      <c r="C40" s="412"/>
      <c r="D40" s="412"/>
      <c r="E40" s="412"/>
      <c r="F40" s="412"/>
      <c r="G40" s="37"/>
    </row>
    <row r="41" spans="1:7" x14ac:dyDescent="0.3">
      <c r="A41" s="37"/>
      <c r="B41" s="412"/>
      <c r="C41" s="412"/>
      <c r="D41" s="412"/>
      <c r="E41" s="412"/>
      <c r="F41" s="412"/>
      <c r="G41" s="37"/>
    </row>
    <row r="42" spans="1:7" x14ac:dyDescent="0.3">
      <c r="A42" s="37"/>
      <c r="B42" s="412"/>
      <c r="C42" s="412"/>
      <c r="D42" s="412"/>
      <c r="E42" s="412"/>
      <c r="F42" s="412"/>
      <c r="G42" s="37"/>
    </row>
    <row r="43" spans="1:7" x14ac:dyDescent="0.3">
      <c r="A43" s="37"/>
      <c r="B43" s="412"/>
      <c r="C43" s="412"/>
      <c r="D43" s="412"/>
      <c r="E43" s="412"/>
      <c r="F43" s="412"/>
      <c r="G43" s="37"/>
    </row>
    <row r="44" spans="1:7" x14ac:dyDescent="0.3">
      <c r="A44" s="37"/>
      <c r="B44" s="412"/>
      <c r="C44" s="412"/>
      <c r="D44" s="412"/>
      <c r="E44" s="412"/>
      <c r="F44" s="412"/>
      <c r="G44" s="37"/>
    </row>
    <row r="45" spans="1:7" x14ac:dyDescent="0.3">
      <c r="A45" s="37"/>
      <c r="B45" s="412"/>
      <c r="C45" s="412"/>
      <c r="D45" s="412"/>
      <c r="E45" s="412"/>
      <c r="F45" s="412"/>
      <c r="G45" s="37"/>
    </row>
    <row r="46" spans="1:7" x14ac:dyDescent="0.3">
      <c r="A46" s="37"/>
      <c r="B46" s="412"/>
      <c r="C46" s="412"/>
      <c r="D46" s="412"/>
      <c r="E46" s="412"/>
      <c r="F46" s="412"/>
      <c r="G46" s="37"/>
    </row>
    <row r="47" spans="1:7" x14ac:dyDescent="0.3">
      <c r="A47" s="37"/>
      <c r="B47" s="412"/>
      <c r="C47" s="412"/>
      <c r="D47" s="412"/>
      <c r="E47" s="412"/>
      <c r="F47" s="412"/>
      <c r="G47" s="37"/>
    </row>
    <row r="48" spans="1:7" x14ac:dyDescent="0.3">
      <c r="A48" s="37"/>
      <c r="B48" s="412"/>
      <c r="C48" s="412"/>
      <c r="D48" s="412"/>
      <c r="E48" s="412"/>
      <c r="F48" s="412"/>
      <c r="G48" s="37"/>
    </row>
    <row r="49" spans="1:7" x14ac:dyDescent="0.3">
      <c r="A49" s="37"/>
      <c r="B49" s="412"/>
      <c r="C49" s="412"/>
      <c r="D49" s="412"/>
      <c r="E49" s="412"/>
      <c r="F49" s="412"/>
      <c r="G49" s="37"/>
    </row>
    <row r="50" spans="1:7" x14ac:dyDescent="0.3">
      <c r="A50" s="37"/>
      <c r="B50" s="412"/>
      <c r="C50" s="412"/>
      <c r="D50" s="412"/>
      <c r="E50" s="412"/>
      <c r="F50" s="412"/>
      <c r="G50" s="37"/>
    </row>
    <row r="51" spans="1:7" x14ac:dyDescent="0.3">
      <c r="A51" s="37"/>
      <c r="B51" s="412"/>
      <c r="C51" s="412"/>
      <c r="D51" s="412"/>
      <c r="E51" s="412"/>
      <c r="F51" s="412"/>
      <c r="G51" s="37"/>
    </row>
    <row r="52" spans="1:7" x14ac:dyDescent="0.3">
      <c r="A52" s="37"/>
      <c r="B52" s="412"/>
      <c r="C52" s="412"/>
      <c r="D52" s="412"/>
      <c r="E52" s="412"/>
      <c r="F52" s="412"/>
      <c r="G52" s="37"/>
    </row>
    <row r="53" spans="1:7" x14ac:dyDescent="0.3">
      <c r="A53" s="37"/>
      <c r="B53" s="412"/>
      <c r="C53" s="412"/>
      <c r="D53" s="412"/>
      <c r="E53" s="412"/>
      <c r="F53" s="412"/>
      <c r="G53" s="37"/>
    </row>
    <row r="54" spans="1:7" x14ac:dyDescent="0.3">
      <c r="A54" s="37"/>
      <c r="B54" s="412"/>
      <c r="C54" s="412"/>
      <c r="D54" s="412"/>
      <c r="E54" s="412"/>
      <c r="F54" s="412"/>
      <c r="G54" s="37"/>
    </row>
    <row r="55" spans="1:7" x14ac:dyDescent="0.3">
      <c r="A55" s="37"/>
      <c r="B55" s="412"/>
      <c r="C55" s="412"/>
      <c r="D55" s="412"/>
      <c r="E55" s="412"/>
      <c r="F55" s="412"/>
      <c r="G55" s="37"/>
    </row>
    <row r="56" spans="1:7" x14ac:dyDescent="0.3">
      <c r="A56" s="37"/>
      <c r="B56" s="412"/>
      <c r="C56" s="412"/>
      <c r="D56" s="412"/>
      <c r="E56" s="412"/>
      <c r="F56" s="412"/>
      <c r="G56" s="37"/>
    </row>
    <row r="57" spans="1:7" x14ac:dyDescent="0.3">
      <c r="A57" s="37"/>
      <c r="B57" s="412"/>
      <c r="C57" s="412"/>
      <c r="D57" s="412"/>
      <c r="E57" s="412"/>
      <c r="F57" s="412"/>
      <c r="G57" s="37"/>
    </row>
    <row r="58" spans="1:7" x14ac:dyDescent="0.3">
      <c r="A58" s="37"/>
      <c r="B58" s="412"/>
      <c r="C58" s="412"/>
      <c r="D58" s="412"/>
      <c r="E58" s="412"/>
      <c r="F58" s="412"/>
      <c r="G58" s="37"/>
    </row>
    <row r="59" spans="1:7" x14ac:dyDescent="0.3">
      <c r="A59" s="37"/>
      <c r="B59" s="412"/>
      <c r="C59" s="412"/>
      <c r="D59" s="412"/>
      <c r="E59" s="412"/>
      <c r="F59" s="412"/>
      <c r="G59" s="37"/>
    </row>
    <row r="60" spans="1:7" x14ac:dyDescent="0.3">
      <c r="A60" s="37"/>
      <c r="B60" s="412"/>
      <c r="C60" s="412"/>
      <c r="D60" s="412"/>
      <c r="E60" s="412"/>
      <c r="F60" s="412"/>
      <c r="G60" s="37"/>
    </row>
    <row r="61" spans="1:7" x14ac:dyDescent="0.3">
      <c r="A61" s="37"/>
      <c r="B61" s="412"/>
      <c r="C61" s="412"/>
      <c r="D61" s="412"/>
      <c r="E61" s="412"/>
      <c r="F61" s="412"/>
      <c r="G61" s="37"/>
    </row>
    <row r="62" spans="1:7" x14ac:dyDescent="0.3">
      <c r="A62" s="37"/>
      <c r="B62" s="412"/>
      <c r="C62" s="412"/>
      <c r="D62" s="412"/>
      <c r="E62" s="412"/>
      <c r="F62" s="412"/>
      <c r="G62" s="37"/>
    </row>
    <row r="63" spans="1:7" x14ac:dyDescent="0.3">
      <c r="A63" s="37"/>
      <c r="B63" s="412"/>
      <c r="C63" s="412"/>
      <c r="D63" s="412"/>
      <c r="E63" s="412"/>
      <c r="F63" s="412"/>
      <c r="G63" s="37"/>
    </row>
    <row r="64" spans="1:7" x14ac:dyDescent="0.3">
      <c r="A64" s="37"/>
      <c r="B64" s="412"/>
      <c r="C64" s="412"/>
      <c r="D64" s="412"/>
      <c r="E64" s="412"/>
      <c r="F64" s="412"/>
      <c r="G64" s="37"/>
    </row>
    <row r="65" spans="1:7" x14ac:dyDescent="0.3">
      <c r="A65" s="37"/>
      <c r="B65" s="412"/>
      <c r="C65" s="412"/>
      <c r="D65" s="412"/>
      <c r="E65" s="412"/>
      <c r="F65" s="412"/>
      <c r="G65" s="37"/>
    </row>
    <row r="66" spans="1:7" x14ac:dyDescent="0.3">
      <c r="A66" s="37"/>
      <c r="B66" s="412"/>
      <c r="C66" s="412"/>
      <c r="D66" s="412"/>
      <c r="E66" s="412"/>
      <c r="F66" s="412"/>
      <c r="G66" s="37"/>
    </row>
  </sheetData>
  <sheetProtection password="C445" sheet="1" objects="1" scenarios="1" selectLockedCells="1"/>
  <mergeCells count="28">
    <mergeCell ref="R5:U6"/>
    <mergeCell ref="H5:L6"/>
    <mergeCell ref="E3:F3"/>
    <mergeCell ref="N5:P6"/>
    <mergeCell ref="O7:P7"/>
    <mergeCell ref="F4:F5"/>
    <mergeCell ref="O22:P22"/>
    <mergeCell ref="O8:P8"/>
    <mergeCell ref="O9:P9"/>
    <mergeCell ref="O10:P10"/>
    <mergeCell ref="O12:P12"/>
    <mergeCell ref="O13:P13"/>
    <mergeCell ref="O31:P31"/>
    <mergeCell ref="O30:P30"/>
    <mergeCell ref="O11:P11"/>
    <mergeCell ref="O19:P19"/>
    <mergeCell ref="O20:P20"/>
    <mergeCell ref="O25:P25"/>
    <mergeCell ref="O27:P27"/>
    <mergeCell ref="O23:P23"/>
    <mergeCell ref="O24:P24"/>
    <mergeCell ref="O26:P26"/>
    <mergeCell ref="O28:P28"/>
    <mergeCell ref="O29:P29"/>
    <mergeCell ref="O14:P14"/>
    <mergeCell ref="O15:P15"/>
    <mergeCell ref="O18:P18"/>
    <mergeCell ref="O21:P21"/>
  </mergeCells>
  <dataValidations count="3">
    <dataValidation type="custom" allowBlank="1" showInputMessage="1" showErrorMessage="1" error="Data for this year is not available. Please enter data in next column." sqref="B8:E10 B12:E18 B21:E24 B26:E26 B28:E30" xr:uid="{00000000-0002-0000-0300-000000000000}">
      <formula1>IF(B$7="","",ISNUMBER(B8))</formula1>
    </dataValidation>
    <dataValidation type="custom" allowBlank="1" showInputMessage="1" showErrorMessage="1" error="Data for projected year is not available. Please enter projected year in Cover page worksheet to enable this column." sqref="F8:F10 F12:F18 F21:F24 F26 F28:F30" xr:uid="{00000000-0002-0000-0300-000001000000}">
      <formula1>IF(F$7="","",ISNUMBER(F8))</formula1>
    </dataValidation>
    <dataValidation type="decimal" operator="greaterThanOrEqual" allowBlank="1" showInputMessage="1" showErrorMessage="1" error="Already subtracted in PBT formula. Mention it as positive number." sqref="N24" xr:uid="{00000000-0002-0000-0300-000002000000}">
      <formula1>0</formula1>
    </dataValidation>
  </dataValidations>
  <pageMargins left="0.49" right="0.18" top="0.39" bottom="0.27" header="0.3" footer="0.18"/>
  <pageSetup scale="5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59"/>
  <sheetViews>
    <sheetView showGridLines="0" workbookViewId="0">
      <selection activeCell="B8" sqref="B8"/>
    </sheetView>
  </sheetViews>
  <sheetFormatPr defaultColWidth="9.109375" defaultRowHeight="14.4" x14ac:dyDescent="0.3"/>
  <cols>
    <col min="1" max="1" width="56.6640625" style="98" bestFit="1" customWidth="1"/>
    <col min="2" max="2" width="9.109375" style="99"/>
    <col min="3" max="6" width="11.109375" style="99" bestFit="1" customWidth="1"/>
    <col min="7" max="16384" width="9.109375" style="98"/>
  </cols>
  <sheetData>
    <row r="1" spans="1:6" ht="23.4" x14ac:dyDescent="0.45">
      <c r="A1" s="306" t="str">
        <f>IF('Cover page'!E7="","",'Cover page'!E7)&amp;" -"&amp;" "&amp;"CASH FLOW STATEMENT"</f>
        <v xml:space="preserve"> - CASH FLOW STATEMENT</v>
      </c>
      <c r="B1" s="383"/>
      <c r="C1" s="383"/>
      <c r="D1" s="383"/>
      <c r="E1" s="383"/>
      <c r="F1" s="383"/>
    </row>
    <row r="2" spans="1:6" x14ac:dyDescent="0.3">
      <c r="A2" s="309"/>
      <c r="B2" s="310"/>
      <c r="C2" s="310"/>
      <c r="D2" s="310"/>
      <c r="E2" s="310"/>
      <c r="F2" s="310"/>
    </row>
    <row r="3" spans="1:6" x14ac:dyDescent="0.3">
      <c r="A3" s="312"/>
      <c r="B3" s="313"/>
      <c r="C3" s="313"/>
      <c r="D3" s="313"/>
      <c r="E3" s="529" t="str">
        <f>'Income Statement'!E3:F3</f>
        <v>In LKR Thousands</v>
      </c>
      <c r="F3" s="529"/>
    </row>
    <row r="4" spans="1:6" x14ac:dyDescent="0.3">
      <c r="A4" s="312" t="str">
        <f>IF('Balance Sheet'!A4="","",('Balance Sheet'!A4))</f>
        <v>Audited (A)/ Draft (D)/ Interim (I)/ Mgmt (M)</v>
      </c>
      <c r="B4" s="317" t="str">
        <f>IF('Balance Sheet'!B4="","",('Balance Sheet'!B4))</f>
        <v>A</v>
      </c>
      <c r="C4" s="317" t="str">
        <f>IF('Balance Sheet'!C4="","",('Balance Sheet'!C4))</f>
        <v>A</v>
      </c>
      <c r="D4" s="317" t="str">
        <f>IF('Balance Sheet'!D4="","",('Balance Sheet'!D4))</f>
        <v>A</v>
      </c>
      <c r="E4" s="317" t="str">
        <f>IF('Balance Sheet'!E4="","",('Balance Sheet'!E4))</f>
        <v>A</v>
      </c>
      <c r="F4" s="518" t="str">
        <f>IF('Balance Sheet'!F4="","",('Balance Sheet'!F4))</f>
        <v>Projected</v>
      </c>
    </row>
    <row r="5" spans="1:6" ht="15" customHeight="1" x14ac:dyDescent="0.3">
      <c r="A5" s="312" t="str">
        <f>IF('Balance Sheet'!A5="","",('Balance Sheet'!A5))</f>
        <v>Qualified (Y/N)</v>
      </c>
      <c r="B5" s="388" t="str">
        <f>IF('Balance Sheet'!B5="","",('Balance Sheet'!B5))</f>
        <v/>
      </c>
      <c r="C5" s="388" t="str">
        <f>IF('Balance Sheet'!C5="","",('Balance Sheet'!C5))</f>
        <v/>
      </c>
      <c r="D5" s="388" t="str">
        <f>IF('Balance Sheet'!D5="","",('Balance Sheet'!D5))</f>
        <v/>
      </c>
      <c r="E5" s="388" t="str">
        <f>IF('Balance Sheet'!E5="","",('Balance Sheet'!E5))</f>
        <v/>
      </c>
      <c r="F5" s="518"/>
    </row>
    <row r="6" spans="1:6" ht="15" thickBot="1" x14ac:dyDescent="0.35">
      <c r="A6" s="312" t="str">
        <f>IF('Balance Sheet'!A6="","",('Balance Sheet'!A6))</f>
        <v>Period (No. of Months)</v>
      </c>
      <c r="B6" s="317">
        <f>IF('Balance Sheet'!B6="","",('Balance Sheet'!B6))</f>
        <v>12</v>
      </c>
      <c r="C6" s="317">
        <f>IF('Balance Sheet'!C6="","",('Balance Sheet'!C6))</f>
        <v>12</v>
      </c>
      <c r="D6" s="317">
        <f>IF('Balance Sheet'!D6="","",('Balance Sheet'!D6))</f>
        <v>12</v>
      </c>
      <c r="E6" s="317">
        <f>IF('Balance Sheet'!E6="","",('Balance Sheet'!E6))</f>
        <v>12</v>
      </c>
      <c r="F6" s="317">
        <f>IF('Balance Sheet'!F6="","",('Balance Sheet'!F6))</f>
        <v>12</v>
      </c>
    </row>
    <row r="7" spans="1:6" ht="15" thickBot="1" x14ac:dyDescent="0.35">
      <c r="A7" s="189" t="s">
        <v>344</v>
      </c>
      <c r="B7" s="321" t="str">
        <f>'Income Statement'!B7</f>
        <v/>
      </c>
      <c r="C7" s="321" t="str">
        <f>'Income Statement'!C7</f>
        <v/>
      </c>
      <c r="D7" s="321" t="str">
        <f>'Income Statement'!D7</f>
        <v/>
      </c>
      <c r="E7" s="321">
        <f>'Income Statement'!E7</f>
        <v>0</v>
      </c>
      <c r="F7" s="322" t="str">
        <f>'Income Statement'!F7</f>
        <v/>
      </c>
    </row>
    <row r="8" spans="1:6" x14ac:dyDescent="0.3">
      <c r="A8" s="340" t="s">
        <v>166</v>
      </c>
      <c r="B8" s="375"/>
      <c r="C8" s="375"/>
      <c r="D8" s="375"/>
      <c r="E8" s="375"/>
      <c r="F8" s="375"/>
    </row>
    <row r="9" spans="1:6" x14ac:dyDescent="0.3">
      <c r="A9" s="355" t="s">
        <v>352</v>
      </c>
      <c r="B9" s="332"/>
      <c r="C9" s="414" t="str">
        <f>IF(C$7="","",IF('Income Statement'!C20="","",'Income Statement'!C20))</f>
        <v/>
      </c>
      <c r="D9" s="414" t="str">
        <f>IF(D$7="","",IF('Income Statement'!D20="","",'Income Statement'!D20))</f>
        <v/>
      </c>
      <c r="E9" s="414">
        <f>IF(E$7="","",IF('Income Statement'!E20="","",'Income Statement'!E20))</f>
        <v>27623</v>
      </c>
      <c r="F9" s="414" t="str">
        <f>IF($F$7="","",IF('Income Statement'!F20="","",'Income Statement'!F20))</f>
        <v/>
      </c>
    </row>
    <row r="10" spans="1:6" x14ac:dyDescent="0.3">
      <c r="A10" s="331" t="s">
        <v>154</v>
      </c>
      <c r="B10" s="332"/>
      <c r="C10" s="414" t="str">
        <f>IF(C$7="","",IFERROR(('Income Statement'!C26-('Balance Sheet'!T51+'Balance Sheet'!T19+'Balance Sheet'!T60+'Balance Sheet'!T38)),"-"))</f>
        <v/>
      </c>
      <c r="D10" s="414" t="str">
        <f>IF(D$7="","",IFERROR(('Income Statement'!D26-('Balance Sheet'!U51+'Balance Sheet'!U19+'Balance Sheet'!U60+'Balance Sheet'!U38)),"-"))</f>
        <v/>
      </c>
      <c r="E10" s="414">
        <f>IF(E$7="","",IFERROR(('Income Statement'!E26-('Balance Sheet'!V51+'Balance Sheet'!V19+'Balance Sheet'!V60+'Balance Sheet'!V38)),"-"))</f>
        <v>4917</v>
      </c>
      <c r="F10" s="414" t="str">
        <f>IF($F$7="","",IFERROR(('Income Statement'!F26-('Balance Sheet'!W51+'Balance Sheet'!W19+'Balance Sheet'!W60+'Balance Sheet'!W38)),"-"))</f>
        <v/>
      </c>
    </row>
    <row r="11" spans="1:6" x14ac:dyDescent="0.3">
      <c r="A11" s="353" t="s">
        <v>167</v>
      </c>
      <c r="B11" s="415"/>
      <c r="C11" s="416" t="str">
        <f>IFERROR(C9-C10,"-")</f>
        <v>-</v>
      </c>
      <c r="D11" s="416" t="str">
        <f t="shared" ref="D11:F11" si="0">IFERROR(D9-D10,"-")</f>
        <v>-</v>
      </c>
      <c r="E11" s="416">
        <f t="shared" si="0"/>
        <v>22706</v>
      </c>
      <c r="F11" s="416" t="str">
        <f t="shared" si="0"/>
        <v>-</v>
      </c>
    </row>
    <row r="12" spans="1:6" x14ac:dyDescent="0.3">
      <c r="A12" s="328" t="s">
        <v>155</v>
      </c>
      <c r="B12" s="332"/>
      <c r="C12" s="414"/>
      <c r="D12" s="414"/>
      <c r="E12" s="414"/>
      <c r="F12" s="414"/>
    </row>
    <row r="13" spans="1:6" x14ac:dyDescent="0.3">
      <c r="A13" s="331" t="s">
        <v>363</v>
      </c>
      <c r="B13" s="332"/>
      <c r="C13" s="414" t="str">
        <f>IF(C$7="","",'Income Statement'!C15)</f>
        <v/>
      </c>
      <c r="D13" s="414" t="str">
        <f>IF(D$7="","",'Income Statement'!D15)</f>
        <v/>
      </c>
      <c r="E13" s="414">
        <f>IF(E$7="","",'Income Statement'!E15)</f>
        <v>0</v>
      </c>
      <c r="F13" s="414" t="str">
        <f>IF($F$7="","",'Income Statement'!F15)</f>
        <v/>
      </c>
    </row>
    <row r="14" spans="1:6" x14ac:dyDescent="0.3">
      <c r="A14" s="331" t="s">
        <v>362</v>
      </c>
      <c r="B14" s="332"/>
      <c r="C14" s="414" t="str">
        <f>IF(C$7="","",'Income Statement'!C16)</f>
        <v/>
      </c>
      <c r="D14" s="414" t="str">
        <f>IF(D$7="","",'Income Statement'!D16)</f>
        <v/>
      </c>
      <c r="E14" s="414">
        <f>IF(E$7="","",'Income Statement'!E16)</f>
        <v>0</v>
      </c>
      <c r="F14" s="414" t="str">
        <f>IF($F$7="","",'Income Statement'!F16)</f>
        <v/>
      </c>
    </row>
    <row r="15" spans="1:6" x14ac:dyDescent="0.3">
      <c r="A15" s="331" t="s">
        <v>240</v>
      </c>
      <c r="B15" s="332"/>
      <c r="C15" s="414" t="str">
        <f>IF(C$7="","",'Income Statement'!C17)</f>
        <v/>
      </c>
      <c r="D15" s="414" t="str">
        <f>IF(D$7="","",'Income Statement'!D17)</f>
        <v/>
      </c>
      <c r="E15" s="414">
        <f>IF(E$7="","",'Income Statement'!E17)</f>
        <v>0</v>
      </c>
      <c r="F15" s="414" t="str">
        <f>IF(F$7="","",'Income Statement'!F17)</f>
        <v/>
      </c>
    </row>
    <row r="16" spans="1:6" x14ac:dyDescent="0.3">
      <c r="A16" s="417" t="s">
        <v>170</v>
      </c>
      <c r="B16" s="418"/>
      <c r="C16" s="419">
        <f>SUM(C13:C15)</f>
        <v>0</v>
      </c>
      <c r="D16" s="419">
        <f>SUM(D13:D15)</f>
        <v>0</v>
      </c>
      <c r="E16" s="419">
        <f>SUM(E13:E15)</f>
        <v>0</v>
      </c>
      <c r="F16" s="419">
        <f>SUM(F13:F15)</f>
        <v>0</v>
      </c>
    </row>
    <row r="17" spans="1:6" x14ac:dyDescent="0.3">
      <c r="A17" s="353" t="s">
        <v>354</v>
      </c>
      <c r="B17" s="415"/>
      <c r="C17" s="416" t="str">
        <f>IFERROR(C11+C16,"-")</f>
        <v>-</v>
      </c>
      <c r="D17" s="416" t="str">
        <f>IFERROR(D11+D16,"-")</f>
        <v>-</v>
      </c>
      <c r="E17" s="416">
        <f>IFERROR(E11+E16,"-")</f>
        <v>22706</v>
      </c>
      <c r="F17" s="416" t="str">
        <f>IFERROR(F11+F16,"-")</f>
        <v>-</v>
      </c>
    </row>
    <row r="18" spans="1:6" x14ac:dyDescent="0.3">
      <c r="A18" s="420" t="s">
        <v>355</v>
      </c>
      <c r="B18" s="332"/>
      <c r="C18" s="414"/>
      <c r="D18" s="414"/>
      <c r="E18" s="414"/>
      <c r="F18" s="414"/>
    </row>
    <row r="19" spans="1:6" x14ac:dyDescent="0.3">
      <c r="A19" s="331" t="s">
        <v>156</v>
      </c>
      <c r="B19" s="332"/>
      <c r="C19" s="421" t="str">
        <f>IF(C$7="","",'Balance Sheet'!T17)</f>
        <v/>
      </c>
      <c r="D19" s="421" t="str">
        <f>IF(D$7="","",'Balance Sheet'!U17)</f>
        <v/>
      </c>
      <c r="E19" s="421">
        <f>IF(E$7="","",'Balance Sheet'!V17)</f>
        <v>-29103</v>
      </c>
      <c r="F19" s="421" t="str">
        <f>IF($F$7="","",'Balance Sheet'!W17)</f>
        <v/>
      </c>
    </row>
    <row r="20" spans="1:6" x14ac:dyDescent="0.3">
      <c r="A20" s="331" t="s">
        <v>157</v>
      </c>
      <c r="B20" s="332"/>
      <c r="C20" s="414" t="str">
        <f>IF(C$7="","",'Balance Sheet'!T11)</f>
        <v/>
      </c>
      <c r="D20" s="414" t="str">
        <f>IF(D$7="","",'Balance Sheet'!U11)</f>
        <v/>
      </c>
      <c r="E20" s="414">
        <f>IF(E$7="","",'Balance Sheet'!V11)</f>
        <v>-52628</v>
      </c>
      <c r="F20" s="414" t="str">
        <f>IF($F$7="","",'Balance Sheet'!W11)</f>
        <v/>
      </c>
    </row>
    <row r="21" spans="1:6" x14ac:dyDescent="0.3">
      <c r="A21" s="331" t="s">
        <v>158</v>
      </c>
      <c r="B21" s="332"/>
      <c r="C21" s="414" t="str">
        <f>IF(C$7="","",'Balance Sheet'!T49)</f>
        <v/>
      </c>
      <c r="D21" s="414" t="str">
        <f>IF(D$7="","",'Balance Sheet'!U49)</f>
        <v/>
      </c>
      <c r="E21" s="414">
        <f>IF(E$7="","",'Balance Sheet'!V49)</f>
        <v>31453</v>
      </c>
      <c r="F21" s="414" t="str">
        <f>IF($F$7="","",'Balance Sheet'!W49)</f>
        <v/>
      </c>
    </row>
    <row r="22" spans="1:6" x14ac:dyDescent="0.3">
      <c r="A22" s="331" t="s">
        <v>356</v>
      </c>
      <c r="B22" s="332"/>
      <c r="C22" s="414" t="str">
        <f>IF(C$7="","",'Balance Sheet'!T52)</f>
        <v/>
      </c>
      <c r="D22" s="414" t="str">
        <f>IF(D$7="","",'Balance Sheet'!U52)</f>
        <v/>
      </c>
      <c r="E22" s="414">
        <f>IF(E$7="","",'Balance Sheet'!V52)</f>
        <v>0</v>
      </c>
      <c r="F22" s="414" t="str">
        <f>IF($F$7="","",'Balance Sheet'!W52)</f>
        <v/>
      </c>
    </row>
    <row r="23" spans="1:6" x14ac:dyDescent="0.3">
      <c r="A23" s="353" t="s">
        <v>357</v>
      </c>
      <c r="B23" s="415"/>
      <c r="C23" s="416">
        <f>SUM(C19:C22)</f>
        <v>0</v>
      </c>
      <c r="D23" s="416">
        <f t="shared" ref="D23:F23" si="1">SUM(D19:D22)</f>
        <v>0</v>
      </c>
      <c r="E23" s="416">
        <f t="shared" si="1"/>
        <v>-50278</v>
      </c>
      <c r="F23" s="416">
        <f t="shared" si="1"/>
        <v>0</v>
      </c>
    </row>
    <row r="24" spans="1:6" x14ac:dyDescent="0.3">
      <c r="A24" s="331" t="s">
        <v>159</v>
      </c>
      <c r="B24" s="332"/>
      <c r="C24" s="414" t="str">
        <f>IF(C$7="","",SUM('Balance Sheet'!T18:T22)-'Balance Sheet'!T19-'Balance Sheet'!T21)</f>
        <v/>
      </c>
      <c r="D24" s="414" t="str">
        <f>IF(D$7="","",SUM('Balance Sheet'!U18:U22)-'Balance Sheet'!U19-'Balance Sheet'!U21)</f>
        <v/>
      </c>
      <c r="E24" s="414">
        <f>IF(E$7="","",SUM('Balance Sheet'!V18:V22)-'Balance Sheet'!V19-'Balance Sheet'!V21)</f>
        <v>0</v>
      </c>
      <c r="F24" s="414" t="str">
        <f>IF($F$7="","",SUM('Balance Sheet'!W18:W22)-'Balance Sheet'!W19-'Balance Sheet'!W21)</f>
        <v/>
      </c>
    </row>
    <row r="25" spans="1:6" x14ac:dyDescent="0.3">
      <c r="A25" s="331" t="s">
        <v>160</v>
      </c>
      <c r="B25" s="332"/>
      <c r="C25" s="414" t="str">
        <f>IF(C$7="","",'Balance Sheet'!T54+'Balance Sheet'!T53)</f>
        <v/>
      </c>
      <c r="D25" s="414" t="str">
        <f>IF(D$7="","",'Balance Sheet'!U54+'Balance Sheet'!U53)</f>
        <v/>
      </c>
      <c r="E25" s="414">
        <f>IF(E$7="","",'Balance Sheet'!V54+'Balance Sheet'!V53)</f>
        <v>1593</v>
      </c>
      <c r="F25" s="414" t="str">
        <f>IF($F$7="","",'Balance Sheet'!W54+'Balance Sheet'!W53)</f>
        <v/>
      </c>
    </row>
    <row r="26" spans="1:6" x14ac:dyDescent="0.3">
      <c r="A26" s="353" t="s">
        <v>358</v>
      </c>
      <c r="B26" s="415"/>
      <c r="C26" s="416">
        <f>SUM(C24:C25)+C23</f>
        <v>0</v>
      </c>
      <c r="D26" s="416">
        <f t="shared" ref="D26:F26" si="2">SUM(D24:D25)+D23</f>
        <v>0</v>
      </c>
      <c r="E26" s="416">
        <f t="shared" si="2"/>
        <v>-48685</v>
      </c>
      <c r="F26" s="416">
        <f t="shared" si="2"/>
        <v>0</v>
      </c>
    </row>
    <row r="27" spans="1:6" x14ac:dyDescent="0.3">
      <c r="A27" s="417" t="s">
        <v>359</v>
      </c>
      <c r="B27" s="418"/>
      <c r="C27" s="419" t="str">
        <f>IFERROR(C17+C26,"-")</f>
        <v>-</v>
      </c>
      <c r="D27" s="419" t="str">
        <f t="shared" ref="D27:F27" si="3">IFERROR(D17+D26,"-")</f>
        <v>-</v>
      </c>
      <c r="E27" s="419">
        <f t="shared" si="3"/>
        <v>-25979</v>
      </c>
      <c r="F27" s="419" t="str">
        <f t="shared" si="3"/>
        <v>-</v>
      </c>
    </row>
    <row r="28" spans="1:6" x14ac:dyDescent="0.3">
      <c r="A28" s="362"/>
      <c r="B28" s="363"/>
      <c r="C28" s="422"/>
      <c r="D28" s="422"/>
      <c r="E28" s="422"/>
      <c r="F28" s="422"/>
    </row>
    <row r="29" spans="1:6" x14ac:dyDescent="0.3">
      <c r="A29" s="328" t="s">
        <v>161</v>
      </c>
      <c r="B29" s="332"/>
      <c r="C29" s="414"/>
      <c r="D29" s="414"/>
      <c r="E29" s="414"/>
      <c r="F29" s="414"/>
    </row>
    <row r="30" spans="1:6" x14ac:dyDescent="0.3">
      <c r="A30" s="331" t="s">
        <v>360</v>
      </c>
      <c r="B30" s="365"/>
      <c r="C30" s="421" t="str">
        <f>IF(C$7="","",-'Balance Sheet'!B47)</f>
        <v/>
      </c>
      <c r="D30" s="421" t="str">
        <f>IF(D$7="","",-'Balance Sheet'!C47)</f>
        <v/>
      </c>
      <c r="E30" s="421">
        <f>IF(E$7="","",-'Balance Sheet'!D47)</f>
        <v>0</v>
      </c>
      <c r="F30" s="421" t="str">
        <f>IF($F$7="","",-'Balance Sheet'!E47)</f>
        <v/>
      </c>
    </row>
    <row r="31" spans="1:6" x14ac:dyDescent="0.3">
      <c r="A31" s="331" t="s">
        <v>339</v>
      </c>
      <c r="B31" s="365"/>
      <c r="C31" s="421" t="str">
        <f>IF(C$7="","",-'Balance Sheet'!B48)</f>
        <v/>
      </c>
      <c r="D31" s="421" t="str">
        <f>IF(D$7="","",-'Balance Sheet'!C48)</f>
        <v/>
      </c>
      <c r="E31" s="421">
        <f>IF(E$7="","",-'Balance Sheet'!D48)</f>
        <v>0</v>
      </c>
      <c r="F31" s="421" t="str">
        <f>IF($F$7="","",-'Balance Sheet'!E48)</f>
        <v/>
      </c>
    </row>
    <row r="32" spans="1:6" x14ac:dyDescent="0.3">
      <c r="A32" s="331" t="s">
        <v>233</v>
      </c>
      <c r="B32" s="365"/>
      <c r="C32" s="421" t="str">
        <f>IF(C$7="","",IFERROR(-'Income Statement'!C21+'Balance Sheet'!T50,"-"))</f>
        <v/>
      </c>
      <c r="D32" s="421" t="str">
        <f>IF(D$7="","",IFERROR(-'Income Statement'!D21+'Balance Sheet'!U50,"-"))</f>
        <v/>
      </c>
      <c r="E32" s="421">
        <f>IF(E$7="","",IFERROR(-'Income Statement'!E21+'Balance Sheet'!V50,"-"))</f>
        <v>-3186</v>
      </c>
      <c r="F32" s="421" t="str">
        <f>IF($F$7="","",IFERROR(-'Income Statement'!F21+'Balance Sheet'!W50,"-"))</f>
        <v/>
      </c>
    </row>
    <row r="33" spans="1:6" x14ac:dyDescent="0.3">
      <c r="A33" s="353" t="s">
        <v>436</v>
      </c>
      <c r="B33" s="423"/>
      <c r="C33" s="424">
        <f>SUM(C30:C32)</f>
        <v>0</v>
      </c>
      <c r="D33" s="424">
        <f t="shared" ref="D33:F33" si="4">SUM(D30:D32)</f>
        <v>0</v>
      </c>
      <c r="E33" s="424">
        <f t="shared" si="4"/>
        <v>-3186</v>
      </c>
      <c r="F33" s="424">
        <f t="shared" si="4"/>
        <v>0</v>
      </c>
    </row>
    <row r="34" spans="1:6" ht="15" thickBot="1" x14ac:dyDescent="0.35">
      <c r="A34" s="411" t="s">
        <v>438</v>
      </c>
      <c r="B34" s="367"/>
      <c r="C34" s="425" t="str">
        <f>IFERROR(C33+C27,"-")</f>
        <v>-</v>
      </c>
      <c r="D34" s="425" t="str">
        <f t="shared" ref="D34:F34" si="5">IFERROR(D33+D27,"-")</f>
        <v>-</v>
      </c>
      <c r="E34" s="425">
        <f t="shared" si="5"/>
        <v>-29165</v>
      </c>
      <c r="F34" s="425" t="str">
        <f t="shared" si="5"/>
        <v>-</v>
      </c>
    </row>
    <row r="35" spans="1:6" ht="15" thickTop="1" x14ac:dyDescent="0.3">
      <c r="A35" s="37"/>
      <c r="B35" s="365"/>
      <c r="C35" s="421"/>
      <c r="D35" s="421"/>
      <c r="E35" s="421"/>
      <c r="F35" s="421"/>
    </row>
    <row r="36" spans="1:6" x14ac:dyDescent="0.3">
      <c r="A36" s="340" t="s">
        <v>168</v>
      </c>
      <c r="B36" s="365"/>
      <c r="C36" s="421"/>
      <c r="D36" s="421"/>
      <c r="E36" s="421"/>
      <c r="F36" s="421"/>
    </row>
    <row r="37" spans="1:6" x14ac:dyDescent="0.3">
      <c r="A37" s="355" t="s">
        <v>361</v>
      </c>
      <c r="B37" s="365"/>
      <c r="C37" s="421" t="str">
        <f>IF(C$7="","",('Balance Sheet'!B32-'Income Statement'!C15)-'Balance Sheet'!C32)</f>
        <v/>
      </c>
      <c r="D37" s="421" t="str">
        <f>IF(D$7="","",('Balance Sheet'!C32-'Income Statement'!D15)-'Balance Sheet'!D32)</f>
        <v/>
      </c>
      <c r="E37" s="421">
        <f>IF(E$7="","",('Balance Sheet'!D32-'Income Statement'!E15)-'Balance Sheet'!E32)</f>
        <v>-40000</v>
      </c>
      <c r="F37" s="421" t="str">
        <f>IF(F$7="","",('Balance Sheet'!E32-'Income Statement'!F15)-'Balance Sheet'!F32)</f>
        <v/>
      </c>
    </row>
    <row r="38" spans="1:6" x14ac:dyDescent="0.3">
      <c r="A38" s="426" t="s">
        <v>374</v>
      </c>
      <c r="B38" s="365"/>
      <c r="C38" s="421" t="str">
        <f>IF(C$7="","",'Balance Sheet'!T37-'Cashflow Statement'!C15)</f>
        <v/>
      </c>
      <c r="D38" s="421" t="str">
        <f>IF(D$7="","",'Balance Sheet'!U37-'Cashflow Statement'!D15)</f>
        <v/>
      </c>
      <c r="E38" s="421">
        <f>IF(E$7="","",'Balance Sheet'!V37-'Cashflow Statement'!E15)</f>
        <v>0</v>
      </c>
      <c r="F38" s="421" t="str">
        <f>IF(F$7="","",'Balance Sheet'!W37-'Cashflow Statement'!F15)</f>
        <v/>
      </c>
    </row>
    <row r="39" spans="1:6" x14ac:dyDescent="0.3">
      <c r="A39" s="426" t="s">
        <v>366</v>
      </c>
      <c r="B39" s="365"/>
      <c r="C39" s="421" t="str">
        <f>IF(C$7="","",'Balance Sheet'!T36)</f>
        <v/>
      </c>
      <c r="D39" s="421" t="str">
        <f>IF(D$7="","",'Balance Sheet'!U36)</f>
        <v/>
      </c>
      <c r="E39" s="421">
        <f>IF(E$7="","",'Balance Sheet'!V36)</f>
        <v>0</v>
      </c>
      <c r="F39" s="421" t="str">
        <f>IF($F$7="","",'Balance Sheet'!W36)</f>
        <v/>
      </c>
    </row>
    <row r="40" spans="1:6" x14ac:dyDescent="0.3">
      <c r="A40" s="355" t="s">
        <v>241</v>
      </c>
      <c r="B40" s="365"/>
      <c r="C40" s="421" t="str">
        <f>IF(C$7="","",'Balance Sheet'!T33-C14)</f>
        <v/>
      </c>
      <c r="D40" s="421" t="str">
        <f>IF(D$7="","",'Balance Sheet'!U33-D14)</f>
        <v/>
      </c>
      <c r="E40" s="421">
        <f>IF(E$7="","",'Balance Sheet'!V33-E14)</f>
        <v>0</v>
      </c>
      <c r="F40" s="421" t="str">
        <f>IF(F$7="","",'Balance Sheet'!W33-F14)</f>
        <v/>
      </c>
    </row>
    <row r="41" spans="1:6" x14ac:dyDescent="0.3">
      <c r="A41" s="426" t="s">
        <v>367</v>
      </c>
      <c r="B41" s="365"/>
      <c r="C41" s="421" t="str">
        <f>IF(C$7="","",IFERROR('Income Statement'!C22+'Balance Sheet'!T21,"-"))</f>
        <v/>
      </c>
      <c r="D41" s="421" t="str">
        <f>IF(D$7="","",IFERROR('Income Statement'!D22+'Balance Sheet'!U21,"-"))</f>
        <v/>
      </c>
      <c r="E41" s="421">
        <f>IF(E$7="","",IFERROR('Income Statement'!E22+'Balance Sheet'!V21,"-"))</f>
        <v>0</v>
      </c>
      <c r="F41" s="421" t="str">
        <f>IF($F$7="","",IFERROR('Income Statement'!F22+'Balance Sheet'!W21,"-"))</f>
        <v/>
      </c>
    </row>
    <row r="42" spans="1:6" x14ac:dyDescent="0.3">
      <c r="A42" s="426" t="s">
        <v>368</v>
      </c>
      <c r="B42" s="365"/>
      <c r="C42" s="421" t="str">
        <f>IF(C$7="","",'Income Statement'!C23-'Income Statement'!C24)</f>
        <v/>
      </c>
      <c r="D42" s="421" t="str">
        <f>IF(D$7="","",'Income Statement'!D23-'Income Statement'!D24)</f>
        <v/>
      </c>
      <c r="E42" s="421">
        <f>IF(E$7="","",'Income Statement'!E23-'Income Statement'!E24)</f>
        <v>0</v>
      </c>
      <c r="F42" s="421" t="str">
        <f>IF(F$7="","",'Income Statement'!F23-'Income Statement'!F24)</f>
        <v/>
      </c>
    </row>
    <row r="43" spans="1:6" x14ac:dyDescent="0.3">
      <c r="A43" s="426" t="s">
        <v>365</v>
      </c>
      <c r="B43" s="365"/>
      <c r="C43" s="421" t="str">
        <f>IF(C$7="","",IFERROR('Balance Sheet'!T34+'Balance Sheet'!T35,"-"))</f>
        <v/>
      </c>
      <c r="D43" s="421" t="str">
        <f>IF(D$7="","",IFERROR('Balance Sheet'!U34+'Balance Sheet'!U35,"-"))</f>
        <v/>
      </c>
      <c r="E43" s="421">
        <f>IF(E$7="","",IFERROR('Balance Sheet'!V34+'Balance Sheet'!V35,"-"))</f>
        <v>0</v>
      </c>
      <c r="F43" s="421" t="str">
        <f>IF($F$7="","",IFERROR('Balance Sheet'!W34+'Balance Sheet'!W35,"-"))</f>
        <v/>
      </c>
    </row>
    <row r="44" spans="1:6" x14ac:dyDescent="0.3">
      <c r="A44" s="355" t="s">
        <v>242</v>
      </c>
      <c r="B44" s="365"/>
      <c r="C44" s="421" t="str">
        <f>IF(C$7="","",'Balance Sheet'!T39)</f>
        <v/>
      </c>
      <c r="D44" s="421" t="str">
        <f>IF(D$7="","",'Balance Sheet'!U39)</f>
        <v/>
      </c>
      <c r="E44" s="421">
        <f>IF(E$7="","",'Balance Sheet'!V39)</f>
        <v>0</v>
      </c>
      <c r="F44" s="421" t="str">
        <f>IF($F$7="","",'Balance Sheet'!W39)</f>
        <v/>
      </c>
    </row>
    <row r="45" spans="1:6" x14ac:dyDescent="0.3">
      <c r="A45" s="427" t="s">
        <v>437</v>
      </c>
      <c r="B45" s="423"/>
      <c r="C45" s="428">
        <f>SUM(C37:C44)</f>
        <v>0</v>
      </c>
      <c r="D45" s="428">
        <f t="shared" ref="D45:F45" si="6">SUM(D37:D44)</f>
        <v>0</v>
      </c>
      <c r="E45" s="428">
        <f t="shared" si="6"/>
        <v>-40000</v>
      </c>
      <c r="F45" s="428">
        <f t="shared" si="6"/>
        <v>0</v>
      </c>
    </row>
    <row r="46" spans="1:6" ht="15" thickBot="1" x14ac:dyDescent="0.35">
      <c r="A46" s="411" t="s">
        <v>439</v>
      </c>
      <c r="B46" s="429"/>
      <c r="C46" s="425" t="str">
        <f>IFERROR(C45+C34,"-")</f>
        <v>-</v>
      </c>
      <c r="D46" s="425" t="str">
        <f t="shared" ref="D46:F46" si="7">IFERROR(D45+D34,"-")</f>
        <v>-</v>
      </c>
      <c r="E46" s="425">
        <f t="shared" si="7"/>
        <v>-69165</v>
      </c>
      <c r="F46" s="425" t="str">
        <f t="shared" si="7"/>
        <v>-</v>
      </c>
    </row>
    <row r="47" spans="1:6" ht="15" thickTop="1" x14ac:dyDescent="0.3">
      <c r="A47" s="37"/>
      <c r="B47" s="365"/>
      <c r="C47" s="365"/>
      <c r="D47" s="365"/>
      <c r="E47" s="365"/>
      <c r="F47" s="365"/>
    </row>
    <row r="48" spans="1:6" x14ac:dyDescent="0.3">
      <c r="A48" s="340" t="s">
        <v>169</v>
      </c>
      <c r="B48" s="365"/>
      <c r="C48" s="365"/>
      <c r="D48" s="365"/>
      <c r="E48" s="365"/>
      <c r="F48" s="365"/>
    </row>
    <row r="49" spans="1:6" x14ac:dyDescent="0.3">
      <c r="A49" s="355" t="s">
        <v>162</v>
      </c>
      <c r="B49" s="365"/>
      <c r="C49" s="365" t="str">
        <f>IF(C$7="","",'Balance Sheet'!T46)</f>
        <v/>
      </c>
      <c r="D49" s="365" t="str">
        <f>IF(D$7="","",'Balance Sheet'!U46)</f>
        <v/>
      </c>
      <c r="E49" s="365">
        <f>IF(E$7="","",'Balance Sheet'!V46)</f>
        <v>78582</v>
      </c>
      <c r="F49" s="365" t="str">
        <f>IF($F$7="","",'Balance Sheet'!W46)</f>
        <v/>
      </c>
    </row>
    <row r="50" spans="1:6" x14ac:dyDescent="0.3">
      <c r="A50" s="355" t="s">
        <v>163</v>
      </c>
      <c r="B50" s="365"/>
      <c r="C50" s="365" t="str">
        <f>IF(C$7="","",'Balance Sheet'!C47+'Balance Sheet'!C59-'Balance Sheet'!B59)</f>
        <v/>
      </c>
      <c r="D50" s="365" t="str">
        <f>IF(D$7="","",'Balance Sheet'!D47+'Balance Sheet'!D59-'Balance Sheet'!C59)</f>
        <v/>
      </c>
      <c r="E50" s="365">
        <f>IF(E$7="","",'Balance Sheet'!E47+'Balance Sheet'!E59-'Balance Sheet'!D59)</f>
        <v>0</v>
      </c>
      <c r="F50" s="365" t="str">
        <f>IF(F$7="","",'Balance Sheet'!F47+'Balance Sheet'!F59-'Balance Sheet'!E59)</f>
        <v/>
      </c>
    </row>
    <row r="51" spans="1:6" x14ac:dyDescent="0.3">
      <c r="A51" s="426" t="s">
        <v>371</v>
      </c>
      <c r="B51" s="365"/>
      <c r="C51" s="365" t="str">
        <f>IF(C$7="","",'Balance Sheet'!C48+'Balance Sheet'!C58-'Balance Sheet'!B58+'Balance Sheet'!C62+'Balance Sheet'!C63-'Balance Sheet'!B62-'Balance Sheet'!B63)</f>
        <v/>
      </c>
      <c r="D51" s="365" t="str">
        <f>IF(D$7="","",'Balance Sheet'!D48+'Balance Sheet'!D58-'Balance Sheet'!C58+'Balance Sheet'!D62+'Balance Sheet'!D63-'Balance Sheet'!C62-'Balance Sheet'!C63)</f>
        <v/>
      </c>
      <c r="E51" s="365">
        <f>IF(E$7="","",'Balance Sheet'!E48+'Balance Sheet'!E58-'Balance Sheet'!D58+'Balance Sheet'!E62+'Balance Sheet'!E63-'Balance Sheet'!D62-'Balance Sheet'!D63)</f>
        <v>0</v>
      </c>
      <c r="F51" s="365" t="str">
        <f>IF(F$7="","",'Balance Sheet'!F48+'Balance Sheet'!F58-'Balance Sheet'!E58+'Balance Sheet'!F62+'Balance Sheet'!F63-'Balance Sheet'!E62-'Balance Sheet'!E63)</f>
        <v/>
      </c>
    </row>
    <row r="52" spans="1:6" x14ac:dyDescent="0.3">
      <c r="A52" s="426" t="s">
        <v>373</v>
      </c>
      <c r="B52" s="365"/>
      <c r="C52" s="365" t="str">
        <f>IF(C$7="","",'Balance Sheet'!T61)</f>
        <v/>
      </c>
      <c r="D52" s="365" t="str">
        <f>IF(D$7="","",'Balance Sheet'!U61)</f>
        <v/>
      </c>
      <c r="E52" s="365">
        <f>IF(E$7="","",'Balance Sheet'!V61)</f>
        <v>0</v>
      </c>
      <c r="F52" s="365" t="str">
        <f>IF(F$7="","",'Balance Sheet'!W61)</f>
        <v/>
      </c>
    </row>
    <row r="53" spans="1:6" x14ac:dyDescent="0.3">
      <c r="A53" s="355" t="s">
        <v>370</v>
      </c>
      <c r="B53" s="365"/>
      <c r="C53" s="365" t="str">
        <f>IF(C$7="","",SUM('Balance Sheet'!T66:T67))</f>
        <v/>
      </c>
      <c r="D53" s="365" t="str">
        <f>IF(D$7="","",SUM('Balance Sheet'!U66:U67))</f>
        <v/>
      </c>
      <c r="E53" s="365">
        <f>IF(E$7="","",SUM('Balance Sheet'!V66:V67))</f>
        <v>0</v>
      </c>
      <c r="F53" s="365" t="str">
        <f>IF($F$7="","",SUM('Balance Sheet'!W66:W67))</f>
        <v/>
      </c>
    </row>
    <row r="54" spans="1:6" x14ac:dyDescent="0.3">
      <c r="A54" s="426" t="s">
        <v>372</v>
      </c>
      <c r="B54" s="365"/>
      <c r="C54" s="365" t="str">
        <f>IF(C$7="","",'Balance Sheet'!T70)</f>
        <v/>
      </c>
      <c r="D54" s="365" t="str">
        <f>IF(D$7="","",'Balance Sheet'!U70)</f>
        <v/>
      </c>
      <c r="E54" s="365">
        <f>IF(E$7="","",'Balance Sheet'!V70)</f>
        <v>0</v>
      </c>
      <c r="F54" s="365" t="str">
        <f>IF(F$7="","",'Balance Sheet'!W70)</f>
        <v/>
      </c>
    </row>
    <row r="55" spans="1:6" x14ac:dyDescent="0.3">
      <c r="A55" s="355" t="s">
        <v>164</v>
      </c>
      <c r="B55" s="365"/>
      <c r="C55" s="365" t="str">
        <f>IF(C$7="","",-'Income Statement'!C30)</f>
        <v/>
      </c>
      <c r="D55" s="365" t="str">
        <f>IF(D$7="","",-'Income Statement'!D30)</f>
        <v/>
      </c>
      <c r="E55" s="365">
        <f>IF(E$7="","",-'Income Statement'!E30)</f>
        <v>0</v>
      </c>
      <c r="F55" s="365" t="str">
        <f>IF($F$7="","",-'Income Statement'!F30)</f>
        <v/>
      </c>
    </row>
    <row r="56" spans="1:6" ht="15" thickBot="1" x14ac:dyDescent="0.35">
      <c r="A56" s="409" t="s">
        <v>440</v>
      </c>
      <c r="B56" s="429"/>
      <c r="C56" s="367">
        <f>SUM(C49:C55)</f>
        <v>0</v>
      </c>
      <c r="D56" s="367">
        <f>SUM(D49:D55)</f>
        <v>0</v>
      </c>
      <c r="E56" s="367">
        <f>SUM(E49:E55)</f>
        <v>78582</v>
      </c>
      <c r="F56" s="367">
        <f>SUM(F49:F55)</f>
        <v>0</v>
      </c>
    </row>
    <row r="57" spans="1:6" ht="15.6" thickTop="1" thickBot="1" x14ac:dyDescent="0.35">
      <c r="A57" s="430" t="s">
        <v>441</v>
      </c>
      <c r="B57" s="431"/>
      <c r="C57" s="432" t="str">
        <f>IFERROR(C56+C46,"-")</f>
        <v>-</v>
      </c>
      <c r="D57" s="432" t="str">
        <f>IFERROR(D56+D46,"-")</f>
        <v>-</v>
      </c>
      <c r="E57" s="432">
        <f>IFERROR(E56+E46,"-")</f>
        <v>9417</v>
      </c>
      <c r="F57" s="432" t="str">
        <f>IFERROR(F56+F46,"-")</f>
        <v>-</v>
      </c>
    </row>
    <row r="58" spans="1:6" ht="15" thickBot="1" x14ac:dyDescent="0.35">
      <c r="A58" s="433" t="s">
        <v>165</v>
      </c>
      <c r="B58" s="434">
        <f>'Balance Sheet'!B10</f>
        <v>0</v>
      </c>
      <c r="C58" s="434" t="str">
        <f>IFERROR(B58+C57,"")</f>
        <v/>
      </c>
      <c r="D58" s="434" t="str">
        <f t="shared" ref="D58:F58" si="8">IFERROR(C58+D57,"")</f>
        <v/>
      </c>
      <c r="E58" s="434" t="str">
        <f t="shared" si="8"/>
        <v/>
      </c>
      <c r="F58" s="434" t="str">
        <f t="shared" si="8"/>
        <v/>
      </c>
    </row>
    <row r="59" spans="1:6" x14ac:dyDescent="0.3">
      <c r="A59" s="435" t="s">
        <v>375</v>
      </c>
      <c r="B59" s="436">
        <f>B58-'Balance Sheet'!B10</f>
        <v>0</v>
      </c>
      <c r="C59" s="436">
        <f>IFERROR(C58-'Balance Sheet'!C10,0)</f>
        <v>0</v>
      </c>
      <c r="D59" s="436">
        <f>IFERROR(D58-'Balance Sheet'!D10,0)</f>
        <v>0</v>
      </c>
      <c r="E59" s="436">
        <f>IFERROR(E58-'Balance Sheet'!E10,0)</f>
        <v>0</v>
      </c>
      <c r="F59" s="436">
        <f>IFERROR(F58-'Balance Sheet'!F10,0)</f>
        <v>0</v>
      </c>
    </row>
  </sheetData>
  <sheetProtection algorithmName="SHA-512" hashValue="u3GyWwQE3fOpmvj/SHWYPY0fG6gWI/PwQkoItPOsB4ZolUM3l5xKIq0cXBpCudt9Grd6Te78GsQ1xFxEVvL4eA==" saltValue="XhCWSr9JYGGL8eTz/M3AmA==" spinCount="100000" sheet="1" objects="1" scenarios="1" selectLockedCells="1"/>
  <mergeCells count="2">
    <mergeCell ref="E3:F3"/>
    <mergeCell ref="F4:F5"/>
  </mergeCells>
  <dataValidations count="1">
    <dataValidation type="custom" allowBlank="1" showInputMessage="1" showErrorMessage="1" error="Please enter 3 or 6 or 9 or 12." sqref="B6:F6" xr:uid="{00000000-0002-0000-0400-000000000000}">
      <formula1>OR(B6=3,B6=6,B6=9,B6=12)</formula1>
    </dataValidation>
  </dataValidations>
  <pageMargins left="0.39" right="0.17" top="0.39" bottom="0.27" header="0.3" footer="0.18"/>
  <pageSetup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O97"/>
  <sheetViews>
    <sheetView showGridLines="0" topLeftCell="A7" workbookViewId="0">
      <selection activeCell="J18" sqref="J18"/>
    </sheetView>
  </sheetViews>
  <sheetFormatPr defaultColWidth="9.109375" defaultRowHeight="14.4" x14ac:dyDescent="0.3"/>
  <cols>
    <col min="1" max="1" width="36" style="98" customWidth="1"/>
    <col min="2" max="2" width="28" style="98" customWidth="1"/>
    <col min="3" max="7" width="9.109375" style="98"/>
    <col min="8" max="8" width="1.6640625" style="98" customWidth="1"/>
    <col min="9" max="15" width="10.109375" style="98" customWidth="1"/>
    <col min="16" max="16384" width="9.109375" style="98"/>
  </cols>
  <sheetData>
    <row r="1" spans="1:15" ht="23.4" x14ac:dyDescent="0.45">
      <c r="A1" s="306" t="str">
        <f>IF('Cover page'!E7="","",'Cover page'!E7)&amp;" -"&amp;" "&amp;"RATIO ANALYSIS"</f>
        <v xml:space="preserve"> - RATIO ANALYSIS</v>
      </c>
      <c r="B1" s="306"/>
      <c r="C1" s="383"/>
      <c r="D1" s="383"/>
      <c r="E1" s="383"/>
      <c r="F1" s="383"/>
      <c r="G1" s="383"/>
      <c r="H1" s="383"/>
      <c r="I1" s="383"/>
      <c r="J1" s="383"/>
      <c r="K1" s="383"/>
      <c r="L1" s="383"/>
      <c r="M1" s="383"/>
      <c r="N1" s="383"/>
      <c r="O1" s="383"/>
    </row>
    <row r="2" spans="1:15" ht="15" thickBot="1" x14ac:dyDescent="0.35">
      <c r="A2" s="441"/>
      <c r="B2" s="441"/>
      <c r="C2" s="441"/>
      <c r="D2" s="441"/>
      <c r="E2" s="441"/>
      <c r="F2" s="441"/>
      <c r="G2" s="441"/>
      <c r="I2" s="441"/>
      <c r="J2" s="441"/>
      <c r="K2" s="441"/>
      <c r="L2" s="441"/>
      <c r="M2" s="441"/>
      <c r="N2" s="441"/>
      <c r="O2" s="441"/>
    </row>
    <row r="3" spans="1:15" ht="15" thickTop="1" x14ac:dyDescent="0.3">
      <c r="A3" s="442"/>
      <c r="B3" s="443"/>
      <c r="C3" s="443"/>
      <c r="D3" s="443"/>
      <c r="E3" s="443"/>
      <c r="F3" s="443"/>
      <c r="G3" s="443"/>
      <c r="I3" s="443"/>
      <c r="J3" s="443"/>
      <c r="K3" s="443"/>
      <c r="L3" s="443"/>
      <c r="M3" s="443"/>
      <c r="N3" s="443"/>
    </row>
    <row r="4" spans="1:15" ht="15.6" x14ac:dyDescent="0.3">
      <c r="A4" s="533" t="s">
        <v>246</v>
      </c>
      <c r="B4" s="534"/>
      <c r="C4" s="534"/>
      <c r="D4" s="534"/>
      <c r="E4" s="534"/>
      <c r="F4" s="534"/>
      <c r="G4" s="534"/>
      <c r="I4" s="535" t="s">
        <v>247</v>
      </c>
      <c r="J4" s="536"/>
      <c r="K4" s="536"/>
      <c r="L4" s="536"/>
      <c r="M4" s="536"/>
      <c r="N4" s="536"/>
      <c r="O4" s="536"/>
    </row>
    <row r="5" spans="1:15" ht="15" thickBot="1" x14ac:dyDescent="0.35">
      <c r="A5" s="444"/>
      <c r="B5" s="445"/>
      <c r="C5" s="445"/>
      <c r="D5" s="445"/>
      <c r="E5" s="445"/>
      <c r="F5" s="445"/>
      <c r="G5" s="445"/>
      <c r="I5" s="445"/>
      <c r="J5" s="445"/>
      <c r="K5" s="445"/>
      <c r="L5" s="445"/>
      <c r="M5" s="445"/>
      <c r="N5" s="445"/>
      <c r="O5" s="445"/>
    </row>
    <row r="6" spans="1:15" ht="15" thickTop="1" x14ac:dyDescent="0.3">
      <c r="A6" s="446"/>
      <c r="B6" s="446"/>
      <c r="C6" s="446"/>
      <c r="D6" s="446"/>
      <c r="E6" s="446"/>
      <c r="F6" s="446"/>
      <c r="G6" s="446"/>
      <c r="I6" s="446"/>
      <c r="J6" s="446"/>
      <c r="K6" s="446"/>
      <c r="L6" s="446"/>
      <c r="M6" s="446"/>
      <c r="N6" s="446"/>
      <c r="O6" s="446"/>
    </row>
    <row r="7" spans="1:15" x14ac:dyDescent="0.3">
      <c r="A7" s="447" t="s">
        <v>271</v>
      </c>
      <c r="B7" s="447" t="s">
        <v>249</v>
      </c>
      <c r="C7" s="448" t="str">
        <f>'Cashflow Statement'!B7</f>
        <v/>
      </c>
      <c r="D7" s="448" t="str">
        <f>'Cashflow Statement'!C7</f>
        <v/>
      </c>
      <c r="E7" s="448" t="str">
        <f>'Cashflow Statement'!D7</f>
        <v/>
      </c>
      <c r="F7" s="448">
        <f>'Cashflow Statement'!E7</f>
        <v>0</v>
      </c>
      <c r="G7" s="449" t="str">
        <f>'Cashflow Statement'!F7</f>
        <v/>
      </c>
      <c r="H7" s="37"/>
      <c r="I7" s="450" t="str">
        <f>A7</f>
        <v>Operational efficiency</v>
      </c>
      <c r="J7" s="451"/>
      <c r="K7" s="451"/>
      <c r="L7" s="451"/>
      <c r="M7" s="451"/>
      <c r="N7" s="451"/>
      <c r="O7" s="451"/>
    </row>
    <row r="8" spans="1:15" x14ac:dyDescent="0.3">
      <c r="A8" s="452" t="s">
        <v>254</v>
      </c>
      <c r="B8" s="452" t="s">
        <v>376</v>
      </c>
      <c r="C8" s="453" t="str">
        <f>IF(C$7="","",IFERROR('Income Statement'!B11/'Income Statement'!B8,""))</f>
        <v/>
      </c>
      <c r="D8" s="453" t="str">
        <f>IF(D$7="","",IFERROR('Income Statement'!C11/'Income Statement'!C8,""))</f>
        <v/>
      </c>
      <c r="E8" s="453" t="str">
        <f>IF(E$7="","",IFERROR('Income Statement'!D11/'Income Statement'!D8,""))</f>
        <v/>
      </c>
      <c r="F8" s="453">
        <f>IF(F$7="","",IFERROR('Income Statement'!E11/'Income Statement'!E8,""))</f>
        <v>0.11506701324746406</v>
      </c>
      <c r="G8" s="453" t="str">
        <f>IF(G$7="","",IFERROR('Income Statement'!F11/'Income Statement'!F8,""))</f>
        <v/>
      </c>
      <c r="H8" s="37"/>
      <c r="I8" s="466"/>
      <c r="J8" s="466"/>
      <c r="K8" s="466"/>
      <c r="L8" s="466"/>
      <c r="M8" s="466"/>
      <c r="N8" s="466"/>
      <c r="O8" s="466"/>
    </row>
    <row r="9" spans="1:15" x14ac:dyDescent="0.3">
      <c r="A9" s="452" t="s">
        <v>380</v>
      </c>
      <c r="B9" s="452" t="s">
        <v>381</v>
      </c>
      <c r="C9" s="453" t="str">
        <f>IF(C$7="","",IFERROR(('Income Statement'!B20)/'Income Statement'!B8,""))</f>
        <v/>
      </c>
      <c r="D9" s="453" t="str">
        <f>IF(D$7="","",IFERROR(('Income Statement'!C20)/'Income Statement'!C8,""))</f>
        <v/>
      </c>
      <c r="E9" s="453" t="str">
        <f>IF(E$7="","",IFERROR(('Income Statement'!D20)/'Income Statement'!D8,""))</f>
        <v/>
      </c>
      <c r="F9" s="453">
        <f>IF(F$7="","",IFERROR(('Income Statement'!E20)/'Income Statement'!E8,""))</f>
        <v>8.2436291903796977E-2</v>
      </c>
      <c r="G9" s="453" t="str">
        <f>IF(G$7="","",IFERROR(('Income Statement'!F20)/'Income Statement'!F8,""))</f>
        <v/>
      </c>
      <c r="H9" s="37"/>
      <c r="I9" s="466"/>
      <c r="J9" s="466"/>
      <c r="K9" s="466"/>
      <c r="L9" s="466"/>
      <c r="M9" s="466"/>
      <c r="N9" s="466"/>
      <c r="O9" s="466"/>
    </row>
    <row r="10" spans="1:15" x14ac:dyDescent="0.3">
      <c r="A10" s="452" t="s">
        <v>255</v>
      </c>
      <c r="B10" s="452" t="s">
        <v>377</v>
      </c>
      <c r="C10" s="453" t="str">
        <f>IF(C$7="","",IFERROR('Income Statement'!B27/'Income Statement'!B8,""))</f>
        <v/>
      </c>
      <c r="D10" s="453" t="str">
        <f>IF(D$7="","",IFERROR('Income Statement'!C27/'Income Statement'!C8,""))</f>
        <v/>
      </c>
      <c r="E10" s="453" t="str">
        <f>IF(E$7="","",IFERROR('Income Statement'!D27/'Income Statement'!D8,""))</f>
        <v/>
      </c>
      <c r="F10" s="453">
        <f>IF(F$7="","",IFERROR('Income Statement'!E27/'Income Statement'!E8,""))</f>
        <v>7.2032899311513868E-2</v>
      </c>
      <c r="G10" s="453" t="str">
        <f>IF(G$7="","",IFERROR('Income Statement'!F27/'Income Statement'!F8,""))</f>
        <v/>
      </c>
      <c r="H10" s="37"/>
      <c r="I10" s="466"/>
      <c r="J10" s="466"/>
      <c r="K10" s="466"/>
      <c r="L10" s="466"/>
      <c r="M10" s="466"/>
      <c r="N10" s="466"/>
      <c r="O10" s="466"/>
    </row>
    <row r="11" spans="1:15" x14ac:dyDescent="0.3">
      <c r="A11" s="452" t="s">
        <v>270</v>
      </c>
      <c r="B11" s="452" t="s">
        <v>383</v>
      </c>
      <c r="C11" s="453" t="str">
        <f>IF(C$7="","",IFERROR(('Income Statement'!B20)/('Balance Sheet'!B72+'Balance Sheet'!B64),""))</f>
        <v/>
      </c>
      <c r="D11" s="453" t="str">
        <f>IF(D$7="","",IFERROR(('Income Statement'!C20)/('Balance Sheet'!C72+'Balance Sheet'!C64),""))</f>
        <v/>
      </c>
      <c r="E11" s="453" t="str">
        <f>IF(E$7="","",IFERROR(('Income Statement'!D20)/('Balance Sheet'!D72+'Balance Sheet'!D64),""))</f>
        <v/>
      </c>
      <c r="F11" s="453">
        <f>IF(F$7="","",IFERROR(('Income Statement'!E20)/('Balance Sheet'!E72+'Balance Sheet'!E64),""))</f>
        <v>0.84450762787000522</v>
      </c>
      <c r="G11" s="453" t="str">
        <f>IF(G$7="","",IFERROR(('Income Statement'!F20)/('Balance Sheet'!F72+'Balance Sheet'!F64),""))</f>
        <v/>
      </c>
      <c r="H11" s="37"/>
      <c r="I11" s="466"/>
      <c r="J11" s="466"/>
      <c r="K11" s="466"/>
      <c r="L11" s="466"/>
      <c r="M11" s="466"/>
      <c r="N11" s="466"/>
      <c r="O11" s="466"/>
    </row>
    <row r="12" spans="1:15" x14ac:dyDescent="0.3">
      <c r="A12" s="452" t="s">
        <v>101</v>
      </c>
      <c r="B12" s="452"/>
      <c r="C12" s="454" t="str">
        <f>IF(C$7="","",IFERROR(('Balance Sheet'!B17+'Balance Sheet'!B11)/('Income Statement'!B8/'Balance Sheet'!B6),""))</f>
        <v/>
      </c>
      <c r="D12" s="454" t="str">
        <f>IF(D$7="","",IFERROR(('Balance Sheet'!C17+'Balance Sheet'!C11)/('Income Statement'!C8/'Balance Sheet'!C6),""))</f>
        <v/>
      </c>
      <c r="E12" s="454" t="str">
        <f>IF(E$7="","",IFERROR(('Balance Sheet'!D17+'Balance Sheet'!D11)/('Income Statement'!D8/'Balance Sheet'!D6),""))</f>
        <v/>
      </c>
      <c r="F12" s="454">
        <f>IF(F$7="","",IFERROR(('Balance Sheet'!E17+'Balance Sheet'!E11)/('Income Statement'!E8/'Balance Sheet'!E6),""))</f>
        <v>4.4351757624230412</v>
      </c>
      <c r="G12" s="454" t="str">
        <f>IF(G$7="","",IFERROR(('Balance Sheet'!F17+'Balance Sheet'!F11)/('Income Statement'!F8/'Balance Sheet'!F6),""))</f>
        <v/>
      </c>
      <c r="H12" s="37"/>
      <c r="I12" s="466"/>
      <c r="J12" s="466"/>
      <c r="K12" s="466"/>
      <c r="L12" s="466"/>
      <c r="M12" s="466"/>
      <c r="N12" s="466"/>
      <c r="O12" s="466"/>
    </row>
    <row r="13" spans="1:15" ht="21" customHeight="1" x14ac:dyDescent="0.3">
      <c r="A13" s="452" t="s">
        <v>28</v>
      </c>
      <c r="B13" s="452" t="s">
        <v>448</v>
      </c>
      <c r="C13" s="453" t="str">
        <f>IF(C$7="","",IFERROR(('Cashflow Statement'!B27)/('Income Statement'!B21+'Balance Sheet'!B46+'Balance Sheet'!B47),""))</f>
        <v/>
      </c>
      <c r="D13" s="453" t="str">
        <f>IF(D$7="","",IFERROR(('Cashflow Statement'!C27)/('Income Statement'!C21+'Balance Sheet'!C46+'Balance Sheet'!C47),""))</f>
        <v/>
      </c>
      <c r="E13" s="453" t="str">
        <f>IF(E$7="","",IFERROR(('Cashflow Statement'!D27)/('Income Statement'!D21+'Balance Sheet'!D46+'Balance Sheet'!D47),""))</f>
        <v/>
      </c>
      <c r="F13" s="453">
        <f>IF(F$7="","",IFERROR(('Cashflow Statement'!E27)/('Income Statement'!E21+'Balance Sheet'!E46+'Balance Sheet'!E47),""))</f>
        <v>-0.25061256776832397</v>
      </c>
      <c r="G13" s="453" t="str">
        <f>IF(G$7="","",IFERROR(('Cashflow Statement'!F27)/('Income Statement'!F21+'Balance Sheet'!F46+'Balance Sheet'!F47),""))</f>
        <v/>
      </c>
      <c r="H13" s="37"/>
      <c r="I13" s="466"/>
      <c r="J13" s="466"/>
      <c r="K13" s="466"/>
      <c r="L13" s="466"/>
      <c r="M13" s="466"/>
      <c r="N13" s="466"/>
      <c r="O13" s="466"/>
    </row>
    <row r="14" spans="1:15" x14ac:dyDescent="0.3">
      <c r="A14" s="412"/>
      <c r="B14" s="412"/>
      <c r="C14" s="37"/>
      <c r="D14" s="37"/>
      <c r="E14" s="37"/>
      <c r="F14" s="37"/>
      <c r="G14" s="37"/>
      <c r="H14" s="37"/>
      <c r="I14" s="37"/>
      <c r="J14" s="37"/>
      <c r="K14" s="37"/>
      <c r="L14" s="37"/>
      <c r="M14" s="37"/>
      <c r="N14" s="37"/>
      <c r="O14" s="37"/>
    </row>
    <row r="15" spans="1:15" x14ac:dyDescent="0.3">
      <c r="A15" s="447" t="s">
        <v>256</v>
      </c>
      <c r="B15" s="448"/>
      <c r="C15" s="448"/>
      <c r="D15" s="448"/>
      <c r="E15" s="448"/>
      <c r="F15" s="448"/>
      <c r="G15" s="449"/>
      <c r="H15" s="37"/>
      <c r="I15" s="450" t="str">
        <f>A15</f>
        <v>Capital structure</v>
      </c>
      <c r="J15" s="451"/>
      <c r="K15" s="451"/>
      <c r="L15" s="451"/>
      <c r="M15" s="451"/>
      <c r="N15" s="451"/>
      <c r="O15" s="451"/>
    </row>
    <row r="16" spans="1:15" x14ac:dyDescent="0.3">
      <c r="A16" s="452" t="s">
        <v>257</v>
      </c>
      <c r="B16" s="452" t="s">
        <v>260</v>
      </c>
      <c r="C16" s="455" t="str">
        <f>IF(C$7="","",IFERROR('Balance Sheet'!B72+'Balance Sheet'!B74,""))</f>
        <v/>
      </c>
      <c r="D16" s="455" t="str">
        <f>IF(D$7="","",IFERROR('Balance Sheet'!C72+'Balance Sheet'!C74,""))</f>
        <v/>
      </c>
      <c r="E16" s="455" t="str">
        <f>IF(E$7="","",IFERROR('Balance Sheet'!D72+'Balance Sheet'!D74,""))</f>
        <v/>
      </c>
      <c r="F16" s="455">
        <f>IF(F$7="","",IFERROR('Balance Sheet'!E72+'Balance Sheet'!E74,""))</f>
        <v>32709</v>
      </c>
      <c r="G16" s="455" t="str">
        <f>IF(G$7="","",IFERROR('Balance Sheet'!F72+'Balance Sheet'!F74,""))</f>
        <v/>
      </c>
      <c r="H16" s="37"/>
      <c r="I16" s="466"/>
      <c r="J16" s="466"/>
      <c r="K16" s="466"/>
      <c r="L16" s="466"/>
      <c r="M16" s="466"/>
      <c r="N16" s="466"/>
      <c r="O16" s="466"/>
    </row>
    <row r="17" spans="1:15" x14ac:dyDescent="0.3">
      <c r="A17" s="452" t="s">
        <v>258</v>
      </c>
      <c r="B17" s="452" t="s">
        <v>390</v>
      </c>
      <c r="C17" s="455" t="str">
        <f>IF(C$7="","",IFERROR(('Balance Sheet'!B55+'Balance Sheet'!B64)/('Balance Sheet'!B72+'Balance Sheet'!B74-'Balance Sheet'!B33),""))</f>
        <v/>
      </c>
      <c r="D17" s="455" t="str">
        <f>IF(D$7="","",IFERROR(('Balance Sheet'!C55+'Balance Sheet'!C64)/('Balance Sheet'!C72+'Balance Sheet'!C74-'Balance Sheet'!C33),""))</f>
        <v/>
      </c>
      <c r="E17" s="455" t="str">
        <f>IF(E$7="","",IFERROR(('Balance Sheet'!D55+'Balance Sheet'!D64)/('Balance Sheet'!D72+'Balance Sheet'!D74-'Balance Sheet'!D33),""))</f>
        <v/>
      </c>
      <c r="F17" s="455">
        <f>IF(F$7="","",IFERROR(('Balance Sheet'!E55+'Balance Sheet'!E64)/('Balance Sheet'!E72+'Balance Sheet'!E74-'Balance Sheet'!E33),""))</f>
        <v>4.5641872267571619</v>
      </c>
      <c r="G17" s="455" t="str">
        <f>IF(G$7="","",IFERROR(('Balance Sheet'!F55+'Balance Sheet'!F64)/('Balance Sheet'!F72+'Balance Sheet'!F74-'Balance Sheet'!F33),""))</f>
        <v/>
      </c>
      <c r="H17" s="37"/>
      <c r="I17" s="466"/>
      <c r="J17" s="466"/>
      <c r="K17" s="466"/>
      <c r="L17" s="466"/>
      <c r="M17" s="466"/>
      <c r="N17" s="466"/>
      <c r="O17" s="466"/>
    </row>
    <row r="18" spans="1:15" s="129" customFormat="1" x14ac:dyDescent="0.3">
      <c r="A18" s="456" t="s">
        <v>259</v>
      </c>
      <c r="B18" s="457" t="s">
        <v>391</v>
      </c>
      <c r="C18" s="458" t="str">
        <f>IF(C$7="","",IFERROR(('Balance Sheet'!B46+'Balance Sheet'!B47+'Balance Sheet'!B59+'Balance Sheet'!B48+'Balance Sheet'!B58)/('Balance Sheet'!B72-'Balance Sheet'!B33),""))</f>
        <v/>
      </c>
      <c r="D18" s="458" t="str">
        <f>IF(D$7="","",IFERROR(('Balance Sheet'!C46+'Balance Sheet'!C47+'Balance Sheet'!C59+'Balance Sheet'!C48+'Balance Sheet'!C58)/('Balance Sheet'!C72-'Balance Sheet'!C33),""))</f>
        <v/>
      </c>
      <c r="E18" s="458" t="str">
        <f>IF(E$7="","",IFERROR(('Balance Sheet'!D46+'Balance Sheet'!D47+'Balance Sheet'!D59+'Balance Sheet'!D48+'Balance Sheet'!D58)/('Balance Sheet'!D72-'Balance Sheet'!D33),""))</f>
        <v/>
      </c>
      <c r="F18" s="458">
        <f>IF(F$7="","",IFERROR(('Balance Sheet'!E46+'Balance Sheet'!E47+'Balance Sheet'!E59+'Balance Sheet'!E48+'Balance Sheet'!E58)/('Balance Sheet'!E72-'Balance Sheet'!E33),""))</f>
        <v>3.071815096762359</v>
      </c>
      <c r="G18" s="458" t="str">
        <f>IF(G$7="","",IFERROR(('Balance Sheet'!F46+'Balance Sheet'!F47+'Balance Sheet'!F59+'Balance Sheet'!F48+'Balance Sheet'!F58)/('Balance Sheet'!F72-'Balance Sheet'!F33),""))</f>
        <v/>
      </c>
      <c r="H18" s="459"/>
      <c r="I18" s="467"/>
      <c r="J18" s="467"/>
      <c r="K18" s="467"/>
      <c r="L18" s="467"/>
      <c r="M18" s="467"/>
      <c r="N18" s="467"/>
      <c r="O18" s="467"/>
    </row>
    <row r="19" spans="1:15" x14ac:dyDescent="0.3">
      <c r="A19" s="412"/>
      <c r="B19" s="412"/>
      <c r="C19" s="37"/>
      <c r="D19" s="37"/>
      <c r="E19" s="37"/>
      <c r="F19" s="37"/>
      <c r="G19" s="37"/>
      <c r="H19" s="37"/>
      <c r="I19" s="37"/>
      <c r="J19" s="37"/>
      <c r="K19" s="37"/>
      <c r="L19" s="37"/>
      <c r="M19" s="37"/>
      <c r="N19" s="37"/>
      <c r="O19" s="37"/>
    </row>
    <row r="20" spans="1:15" x14ac:dyDescent="0.3">
      <c r="A20" s="447" t="s">
        <v>248</v>
      </c>
      <c r="B20" s="448"/>
      <c r="C20" s="448"/>
      <c r="D20" s="448"/>
      <c r="E20" s="448"/>
      <c r="F20" s="448"/>
      <c r="G20" s="449"/>
      <c r="H20" s="37"/>
      <c r="I20" s="450" t="str">
        <f>A20</f>
        <v>Liquidity</v>
      </c>
      <c r="J20" s="451"/>
      <c r="K20" s="451"/>
      <c r="L20" s="451"/>
      <c r="M20" s="451"/>
      <c r="N20" s="451"/>
      <c r="O20" s="451"/>
    </row>
    <row r="21" spans="1:15" x14ac:dyDescent="0.3">
      <c r="A21" s="452" t="s">
        <v>392</v>
      </c>
      <c r="B21" s="452" t="s">
        <v>261</v>
      </c>
      <c r="C21" s="460" t="str">
        <f>IF(C$7="","",IFERROR('Balance Sheet'!B23-'Balance Sheet'!B55,""))</f>
        <v/>
      </c>
      <c r="D21" s="460" t="str">
        <f>IF(D$7="","",IFERROR('Balance Sheet'!C23-'Balance Sheet'!C55,""))</f>
        <v/>
      </c>
      <c r="E21" s="460" t="str">
        <f>IF(E$7="","",IFERROR('Balance Sheet'!D23-'Balance Sheet'!D55,""))</f>
        <v/>
      </c>
      <c r="F21" s="460">
        <f>IF(F$7="","",IFERROR('Balance Sheet'!E23-'Balance Sheet'!E55,""))</f>
        <v>-7291</v>
      </c>
      <c r="G21" s="460" t="str">
        <f>IF(G$7="","",IFERROR('Balance Sheet'!F23-'Balance Sheet'!F55,""))</f>
        <v/>
      </c>
      <c r="H21" s="37"/>
      <c r="I21" s="466"/>
      <c r="J21" s="466"/>
      <c r="K21" s="466"/>
      <c r="L21" s="466"/>
      <c r="M21" s="466"/>
      <c r="N21" s="466"/>
      <c r="O21" s="466"/>
    </row>
    <row r="22" spans="1:15" x14ac:dyDescent="0.3">
      <c r="A22" s="452" t="s">
        <v>250</v>
      </c>
      <c r="B22" s="452" t="s">
        <v>262</v>
      </c>
      <c r="C22" s="454" t="str">
        <f>IF(C$7="","",IFERROR('Balance Sheet'!B23/'Balance Sheet'!B55,""))</f>
        <v/>
      </c>
      <c r="D22" s="454" t="str">
        <f>IF(D$7="","",IFERROR('Balance Sheet'!C23/'Balance Sheet'!C55,""))</f>
        <v/>
      </c>
      <c r="E22" s="454" t="str">
        <f>IF(E$7="","",IFERROR('Balance Sheet'!D23/'Balance Sheet'!D55,""))</f>
        <v/>
      </c>
      <c r="F22" s="454">
        <f>IF(F$7="","",IFERROR('Balance Sheet'!E23/'Balance Sheet'!E55,""))</f>
        <v>0.95116216759327488</v>
      </c>
      <c r="G22" s="454" t="str">
        <f>IF(G$7="","",IFERROR('Balance Sheet'!F23/'Balance Sheet'!F55,""))</f>
        <v/>
      </c>
      <c r="H22" s="37"/>
      <c r="I22" s="466"/>
      <c r="J22" s="466"/>
      <c r="K22" s="466"/>
      <c r="L22" s="466"/>
      <c r="M22" s="466"/>
      <c r="N22" s="466"/>
      <c r="O22" s="466"/>
    </row>
    <row r="23" spans="1:15" x14ac:dyDescent="0.3">
      <c r="A23" s="452" t="s">
        <v>263</v>
      </c>
      <c r="B23" s="452" t="s">
        <v>397</v>
      </c>
      <c r="C23" s="454" t="str">
        <f>IF(C$7="","",IFERROR(('Balance Sheet'!B10+'Balance Sheet'!B11)/'Balance Sheet'!B55,""))</f>
        <v/>
      </c>
      <c r="D23" s="454" t="str">
        <f>IF(D$7="","",IFERROR(('Balance Sheet'!C10+'Balance Sheet'!C11)/'Balance Sheet'!C55,""))</f>
        <v/>
      </c>
      <c r="E23" s="454" t="str">
        <f>IF(E$7="","",IFERROR(('Balance Sheet'!D10+'Balance Sheet'!D11)/'Balance Sheet'!D55,""))</f>
        <v/>
      </c>
      <c r="F23" s="454">
        <f>IF(F$7="","",IFERROR(('Balance Sheet'!E10+'Balance Sheet'!E11)/'Balance Sheet'!E55,""))</f>
        <v>0.52935226739902208</v>
      </c>
      <c r="G23" s="454" t="str">
        <f>IF(G$7="","",IFERROR(('Balance Sheet'!F10+'Balance Sheet'!F11)/'Balance Sheet'!F55,""))</f>
        <v/>
      </c>
      <c r="H23" s="37"/>
      <c r="I23" s="466"/>
      <c r="J23" s="466"/>
      <c r="K23" s="466"/>
      <c r="L23" s="466"/>
      <c r="M23" s="466"/>
      <c r="N23" s="466"/>
      <c r="O23" s="466"/>
    </row>
    <row r="24" spans="1:15" x14ac:dyDescent="0.3">
      <c r="A24" s="412"/>
      <c r="B24" s="412"/>
      <c r="C24" s="37"/>
      <c r="D24" s="37"/>
      <c r="E24" s="37"/>
      <c r="F24" s="37"/>
      <c r="G24" s="37"/>
      <c r="H24" s="37"/>
      <c r="I24" s="37"/>
      <c r="J24" s="37"/>
      <c r="K24" s="37"/>
      <c r="L24" s="37"/>
      <c r="M24" s="37"/>
      <c r="N24" s="37"/>
      <c r="O24" s="37"/>
    </row>
    <row r="25" spans="1:15" x14ac:dyDescent="0.3">
      <c r="A25" s="447" t="s">
        <v>264</v>
      </c>
      <c r="B25" s="447"/>
      <c r="C25" s="448"/>
      <c r="D25" s="448"/>
      <c r="E25" s="448"/>
      <c r="F25" s="448"/>
      <c r="G25" s="449"/>
      <c r="H25" s="37"/>
      <c r="I25" s="450" t="str">
        <f>A25</f>
        <v>Turnover period</v>
      </c>
      <c r="J25" s="451"/>
      <c r="K25" s="451"/>
      <c r="L25" s="451"/>
      <c r="M25" s="451"/>
      <c r="N25" s="451"/>
      <c r="O25" s="451"/>
    </row>
    <row r="26" spans="1:15" x14ac:dyDescent="0.3">
      <c r="A26" s="452" t="s">
        <v>393</v>
      </c>
      <c r="B26" s="452" t="s">
        <v>394</v>
      </c>
      <c r="C26" s="461" t="str">
        <f>IF(C$7="","",IFERROR('Balance Sheet'!B17/'Income Statement'!B8*'Income Statement'!B6,""))</f>
        <v/>
      </c>
      <c r="D26" s="461" t="str">
        <f>IF(D$7="","",IFERROR('Balance Sheet'!C17/'Income Statement'!C8*'Income Statement'!C6,""))</f>
        <v/>
      </c>
      <c r="E26" s="461" t="str">
        <f>IF(E$7="","",IFERROR('Balance Sheet'!D17/'Income Statement'!D8*'Income Statement'!D6,""))</f>
        <v/>
      </c>
      <c r="F26" s="461">
        <f>IF(F$7="","",IFERROR('Balance Sheet'!E17/'Income Statement'!E8*'Income Statement'!E6,""))</f>
        <v>62.643822575302238</v>
      </c>
      <c r="G26" s="461" t="str">
        <f>IF(G$7="","",IFERROR('Balance Sheet'!F17/'Income Statement'!F8*'Income Statement'!F6,""))</f>
        <v/>
      </c>
      <c r="H26" s="37"/>
      <c r="I26" s="466"/>
      <c r="J26" s="466"/>
      <c r="K26" s="466"/>
      <c r="L26" s="466"/>
      <c r="M26" s="466"/>
      <c r="N26" s="466"/>
      <c r="O26" s="466"/>
    </row>
    <row r="27" spans="1:15" x14ac:dyDescent="0.3">
      <c r="A27" s="452" t="s">
        <v>265</v>
      </c>
      <c r="B27" s="452" t="s">
        <v>395</v>
      </c>
      <c r="C27" s="454" t="str">
        <f>IF(C$7="","",IFERROR('Balance Sheet'!B11/'Income Statement'!B8*'Income Statement'!B6,""))</f>
        <v/>
      </c>
      <c r="D27" s="454" t="str">
        <f>IF(D$7="","",IFERROR('Balance Sheet'!C11/'Income Statement'!C8*'Income Statement'!C6,""))</f>
        <v/>
      </c>
      <c r="E27" s="454" t="str">
        <f>IF(E$7="","",IFERROR('Balance Sheet'!D11/'Income Statement'!D8*'Income Statement'!D6,""))</f>
        <v/>
      </c>
      <c r="F27" s="454">
        <f>IF(F$7="","",IFERROR('Balance Sheet'!E11/'Income Statement'!E8*'Income Statement'!E6,""))</f>
        <v>70.411450297388996</v>
      </c>
      <c r="G27" s="454" t="str">
        <f>IF(G$7="","",IFERROR('Balance Sheet'!F11/'Income Statement'!F8*'Income Statement'!F6,""))</f>
        <v/>
      </c>
      <c r="H27" s="37"/>
      <c r="I27" s="466"/>
      <c r="J27" s="466"/>
      <c r="K27" s="466"/>
      <c r="L27" s="466"/>
      <c r="M27" s="466"/>
      <c r="N27" s="466"/>
      <c r="O27" s="466"/>
    </row>
    <row r="28" spans="1:15" x14ac:dyDescent="0.3">
      <c r="A28" s="452" t="s">
        <v>266</v>
      </c>
      <c r="B28" s="452" t="s">
        <v>396</v>
      </c>
      <c r="C28" s="454" t="str">
        <f>IF(C$7="","",IFERROR('Balance Sheet'!B49/'Income Statement'!B8*'Income Statement'!B6,""))</f>
        <v/>
      </c>
      <c r="D28" s="454" t="str">
        <f>IF(D$7="","",IFERROR('Balance Sheet'!C49/'Income Statement'!C8*'Income Statement'!C6,""))</f>
        <v/>
      </c>
      <c r="E28" s="454" t="str">
        <f>IF(E$7="","",IFERROR('Balance Sheet'!D49/'Income Statement'!D8*'Income Statement'!D6,""))</f>
        <v/>
      </c>
      <c r="F28" s="454">
        <f>IF(F$7="","",IFERROR('Balance Sheet'!E49/'Income Statement'!E8*'Income Statement'!E6,""))</f>
        <v>49.748271323821257</v>
      </c>
      <c r="G28" s="454" t="str">
        <f>IF(G$7="","",IFERROR('Balance Sheet'!F49/'Income Statement'!F8*'Income Statement'!F6,""))</f>
        <v/>
      </c>
      <c r="H28" s="37"/>
      <c r="I28" s="466"/>
      <c r="J28" s="466"/>
      <c r="K28" s="466"/>
      <c r="L28" s="466"/>
      <c r="M28" s="466"/>
      <c r="N28" s="466"/>
      <c r="O28" s="466"/>
    </row>
    <row r="29" spans="1:15" x14ac:dyDescent="0.3">
      <c r="A29" s="37"/>
      <c r="B29" s="37"/>
      <c r="C29" s="37"/>
      <c r="D29" s="37"/>
      <c r="E29" s="37"/>
      <c r="F29" s="37"/>
      <c r="G29" s="37"/>
      <c r="H29" s="37"/>
      <c r="I29" s="37"/>
      <c r="J29" s="37"/>
      <c r="K29" s="37"/>
      <c r="L29" s="37"/>
      <c r="M29" s="37"/>
      <c r="N29" s="37"/>
      <c r="O29" s="37"/>
    </row>
    <row r="30" spans="1:15" x14ac:dyDescent="0.3">
      <c r="A30" s="447" t="s">
        <v>267</v>
      </c>
      <c r="B30" s="447"/>
      <c r="C30" s="448"/>
      <c r="D30" s="448"/>
      <c r="E30" s="448"/>
      <c r="F30" s="448"/>
      <c r="G30" s="449"/>
      <c r="H30" s="37"/>
      <c r="I30" s="450" t="str">
        <f>A30</f>
        <v>Debt servicing</v>
      </c>
      <c r="J30" s="451"/>
      <c r="K30" s="451"/>
      <c r="L30" s="451"/>
      <c r="M30" s="451"/>
      <c r="N30" s="451"/>
      <c r="O30" s="451"/>
    </row>
    <row r="31" spans="1:15" s="129" customFormat="1" x14ac:dyDescent="0.3">
      <c r="A31" s="456" t="s">
        <v>268</v>
      </c>
      <c r="B31" s="457" t="s">
        <v>443</v>
      </c>
      <c r="C31" s="462" t="str">
        <f>IF(C$7="","",IFERROR(('Income Statement'!B20+'Income Statement'!B15+'Income Statement'!B16+'Income Statement'!B17-'Income Statement'!B26)/('Income Statement'!B21+'Balance Sheet'!B47+'Balance Sheet'!B48),""))</f>
        <v/>
      </c>
      <c r="D31" s="462" t="str">
        <f>IF(D$7="","",IFERROR(('Income Statement'!C20+'Income Statement'!C15+'Income Statement'!C16+'Income Statement'!C17-'Income Statement'!C26)/('Income Statement'!C21+'Balance Sheet'!C47+'Balance Sheet'!C48),""))</f>
        <v/>
      </c>
      <c r="E31" s="462" t="str">
        <f>IF(E$7="","",IFERROR(('Income Statement'!D20+'Income Statement'!D15+'Income Statement'!D16+'Income Statement'!D17-'Income Statement'!D26)/('Income Statement'!D21+'Balance Sheet'!D47+'Balance Sheet'!D48),""))</f>
        <v/>
      </c>
      <c r="F31" s="462">
        <f>IF(F$7="","",IFERROR(('Income Statement'!E20+'Income Statement'!E15+'Income Statement'!E16+'Income Statement'!E17-'Income Statement'!E26)/('Income Statement'!E21+'Balance Sheet'!E47+'Balance Sheet'!E48),""))</f>
        <v>8.5759573132454481</v>
      </c>
      <c r="G31" s="462" t="str">
        <f>IF(G$7="","",IFERROR(('Income Statement'!F20+'Income Statement'!F15+'Income Statement'!F16+'Income Statement'!F17-'Income Statement'!F26)/('Income Statement'!F21+'Balance Sheet'!F47+'Balance Sheet'!F48),""))</f>
        <v/>
      </c>
      <c r="H31" s="459"/>
      <c r="I31" s="467"/>
      <c r="J31" s="467"/>
      <c r="K31" s="467"/>
      <c r="L31" s="467"/>
      <c r="M31" s="467"/>
      <c r="N31" s="467"/>
      <c r="O31" s="467"/>
    </row>
    <row r="32" spans="1:15" x14ac:dyDescent="0.3">
      <c r="A32" s="452" t="s">
        <v>269</v>
      </c>
      <c r="B32" s="452" t="s">
        <v>442</v>
      </c>
      <c r="C32" s="454" t="str">
        <f>IF(C$7="","",IFERROR(('Income Statement'!B20+'Income Statement'!B15+'Income Statement'!B16+'Income Statement'!B17)/('Income Statement'!B21),""))</f>
        <v/>
      </c>
      <c r="D32" s="454" t="str">
        <f>IF(D$7="","",IFERROR(('Income Statement'!C20+'Income Statement'!C15+'Income Statement'!C16+'Income Statement'!C17)/('Income Statement'!C21),""))</f>
        <v/>
      </c>
      <c r="E32" s="454" t="str">
        <f>IF(E$7="","",IFERROR(('Income Statement'!D20+'Income Statement'!D15+'Income Statement'!D16+'Income Statement'!D17)/('Income Statement'!D21),""))</f>
        <v/>
      </c>
      <c r="F32" s="454">
        <f>IF(F$7="","",IFERROR(('Income Statement'!E20+'Income Statement'!E15+'Income Statement'!E16+'Income Statement'!E17)/('Income Statement'!E21),""))</f>
        <v>8.6701192718141868</v>
      </c>
      <c r="G32" s="454" t="str">
        <f>IF(G$7="","",IFERROR(('Income Statement'!F20+'Income Statement'!F15+'Income Statement'!F16+'Income Statement'!F17)/('Income Statement'!F21),""))</f>
        <v/>
      </c>
      <c r="H32" s="37"/>
      <c r="I32" s="466"/>
      <c r="J32" s="466"/>
      <c r="K32" s="466"/>
      <c r="L32" s="466"/>
      <c r="M32" s="466"/>
      <c r="N32" s="466"/>
      <c r="O32" s="466"/>
    </row>
    <row r="33" spans="1:15" x14ac:dyDescent="0.3">
      <c r="A33" s="37"/>
      <c r="B33" s="37"/>
      <c r="C33" s="37"/>
      <c r="D33" s="37"/>
      <c r="E33" s="37"/>
      <c r="F33" s="37"/>
      <c r="G33" s="37"/>
      <c r="H33" s="37"/>
      <c r="I33" s="37"/>
      <c r="J33" s="37"/>
      <c r="K33" s="37"/>
      <c r="L33" s="37"/>
      <c r="M33" s="37"/>
      <c r="N33" s="37"/>
      <c r="O33" s="37"/>
    </row>
    <row r="34" spans="1:15" x14ac:dyDescent="0.3">
      <c r="A34" s="447" t="s">
        <v>33</v>
      </c>
      <c r="B34" s="447"/>
      <c r="C34" s="448"/>
      <c r="D34" s="448"/>
      <c r="E34" s="448"/>
      <c r="F34" s="448"/>
      <c r="G34" s="449"/>
      <c r="H34" s="37"/>
      <c r="I34" s="450" t="str">
        <f>A34</f>
        <v>Trends in financial performance</v>
      </c>
      <c r="J34" s="451"/>
      <c r="K34" s="451"/>
      <c r="L34" s="451"/>
      <c r="M34" s="451"/>
      <c r="N34" s="451"/>
      <c r="O34" s="451"/>
    </row>
    <row r="35" spans="1:15" x14ac:dyDescent="0.3">
      <c r="A35" s="452" t="s">
        <v>444</v>
      </c>
      <c r="B35" s="452"/>
      <c r="C35" s="453" t="str">
        <f>IF(C$7="","",IFERROR('Income Statement'!B8/'Income Statement'!A8-1,""))</f>
        <v/>
      </c>
      <c r="D35" s="453" t="str">
        <f>IF(D$7="","",IFERROR('Income Statement'!C8/'Income Statement'!B8-1,""))</f>
        <v/>
      </c>
      <c r="E35" s="453" t="str">
        <f>IF(E$7="","",IFERROR('Income Statement'!D8/'Income Statement'!C8-1,""))</f>
        <v/>
      </c>
      <c r="F35" s="453">
        <f>IF(F$7="","",IFERROR('Income Statement'!E8/'Income Statement'!D8-1,""))</f>
        <v>1.402373100086034</v>
      </c>
      <c r="G35" s="453" t="str">
        <f>IF(G$7="","",IFERROR('Income Statement'!F8/'Income Statement'!E8-1,""))</f>
        <v/>
      </c>
      <c r="H35" s="37"/>
      <c r="I35" s="466"/>
      <c r="J35" s="466"/>
      <c r="K35" s="466"/>
      <c r="L35" s="466"/>
      <c r="M35" s="466"/>
      <c r="N35" s="466"/>
      <c r="O35" s="466"/>
    </row>
    <row r="36" spans="1:15" x14ac:dyDescent="0.3">
      <c r="A36" s="452" t="s">
        <v>446</v>
      </c>
      <c r="B36" s="452"/>
      <c r="C36" s="453" t="str">
        <f>IF(C$7="","",IFERROR(('Income Statement'!B25+'Income Statement'!B15+'Income Statement'!B16+'Income Statement'!B17)/'Income Statement'!B8,""))</f>
        <v/>
      </c>
      <c r="D36" s="453" t="str">
        <f>IF(D$7="","",IFERROR(('Income Statement'!C25+'Income Statement'!C15+'Income Statement'!C16+'Income Statement'!C17)/'Income Statement'!C8,""))</f>
        <v/>
      </c>
      <c r="E36" s="453" t="str">
        <f>IF(E$7="","",IFERROR(('Income Statement'!D25+'Income Statement'!D15+'Income Statement'!D16+'Income Statement'!D17)/'Income Statement'!D8,""))</f>
        <v/>
      </c>
      <c r="F36" s="453">
        <f>IF(F$7="","",IFERROR(('Income Statement'!E25+'Income Statement'!E15+'Income Statement'!E16+'Income Statement'!E17)/'Income Statement'!E8,""))</f>
        <v>7.2928199878835989E-2</v>
      </c>
      <c r="G36" s="453" t="str">
        <f>IF(G$7="","",IFERROR(('Income Statement'!F25+'Income Statement'!F15+'Income Statement'!F16+'Income Statement'!F17)/'Income Statement'!F8,""))</f>
        <v/>
      </c>
      <c r="H36" s="37"/>
      <c r="I36" s="466"/>
      <c r="J36" s="466"/>
      <c r="K36" s="466"/>
      <c r="L36" s="466"/>
      <c r="M36" s="466"/>
      <c r="N36" s="466"/>
      <c r="O36" s="466"/>
    </row>
    <row r="37" spans="1:15" x14ac:dyDescent="0.3">
      <c r="A37" s="463" t="str">
        <f>"Increase in "&amp;A36</f>
        <v>Increase in (PBDT-Non Recurring income/Exp)/Net Sales Ratio</v>
      </c>
      <c r="B37" s="452"/>
      <c r="C37" s="453"/>
      <c r="D37" s="453" t="str">
        <f>IF(D$7="","",IFERROR((D36/C36-1),""))</f>
        <v/>
      </c>
      <c r="E37" s="453" t="str">
        <f t="shared" ref="E37:G37" si="0">IF(E$7="","",IFERROR((E36/D36-1),""))</f>
        <v/>
      </c>
      <c r="F37" s="453" t="str">
        <f t="shared" si="0"/>
        <v/>
      </c>
      <c r="G37" s="453" t="str">
        <f t="shared" si="0"/>
        <v/>
      </c>
      <c r="H37" s="37"/>
      <c r="I37" s="466"/>
      <c r="J37" s="466"/>
      <c r="K37" s="466"/>
      <c r="L37" s="466"/>
      <c r="M37" s="466"/>
      <c r="N37" s="466"/>
      <c r="O37" s="466"/>
    </row>
    <row r="38" spans="1:15" x14ac:dyDescent="0.3">
      <c r="A38" s="452" t="s">
        <v>447</v>
      </c>
      <c r="B38" s="452"/>
      <c r="C38" s="453" t="str">
        <f>IF(C$7="","",IFERROR(('Balance Sheet'!B72+'Balance Sheet'!B74-'Balance Sheet'!B33)/('Balance Sheet'!B55+'Balance Sheet'!B64),""))</f>
        <v/>
      </c>
      <c r="D38" s="453" t="str">
        <f>IF(D$7="","",IFERROR(('Balance Sheet'!C72+'Balance Sheet'!C74-'Balance Sheet'!C33)/('Balance Sheet'!C55+'Balance Sheet'!C64),""))</f>
        <v/>
      </c>
      <c r="E38" s="453" t="str">
        <f>IF(E$7="","",IFERROR(('Balance Sheet'!D72+'Balance Sheet'!D74-'Balance Sheet'!D33)/('Balance Sheet'!D55+'Balance Sheet'!D64),""))</f>
        <v/>
      </c>
      <c r="F38" s="453">
        <f>IF(F$7="","",IFERROR(('Balance Sheet'!E72+'Balance Sheet'!E74-'Balance Sheet'!E33)/('Balance Sheet'!E55+'Balance Sheet'!E64),""))</f>
        <v>0.21909705941456226</v>
      </c>
      <c r="G38" s="453" t="str">
        <f>IF(G$7="","",IFERROR(('Balance Sheet'!F72+'Balance Sheet'!F74-'Balance Sheet'!F33)/('Balance Sheet'!F55+'Balance Sheet'!F64),""))</f>
        <v/>
      </c>
      <c r="H38" s="37"/>
      <c r="I38" s="466"/>
      <c r="J38" s="466"/>
      <c r="K38" s="466"/>
      <c r="L38" s="466"/>
      <c r="M38" s="466"/>
      <c r="N38" s="466"/>
      <c r="O38" s="466"/>
    </row>
    <row r="39" spans="1:15" x14ac:dyDescent="0.3">
      <c r="A39" s="463" t="str">
        <f>"Increase in "&amp;A38</f>
        <v>Increase in Tangible Net worth/Total Outside Liabilities Ratio</v>
      </c>
      <c r="B39" s="452"/>
      <c r="C39" s="453"/>
      <c r="D39" s="453" t="str">
        <f>IF(D$7="","",IFERROR((D38/C38-1),""))</f>
        <v/>
      </c>
      <c r="E39" s="453" t="str">
        <f>IF(E$7="","",IFERROR((E38/D38-1),""))</f>
        <v/>
      </c>
      <c r="F39" s="453" t="str">
        <f>IF(F$7="","",IFERROR((F38/E38-1),""))</f>
        <v/>
      </c>
      <c r="G39" s="453" t="str">
        <f>IF(G$7="","",IFERROR((G38/F38-1),""))</f>
        <v/>
      </c>
      <c r="H39" s="37"/>
      <c r="I39" s="466"/>
      <c r="J39" s="466"/>
      <c r="K39" s="466"/>
      <c r="L39" s="466"/>
      <c r="M39" s="466"/>
      <c r="N39" s="466"/>
      <c r="O39" s="466"/>
    </row>
    <row r="40" spans="1:15" x14ac:dyDescent="0.3">
      <c r="A40" s="452" t="s">
        <v>449</v>
      </c>
      <c r="B40" s="452"/>
      <c r="C40" s="453"/>
      <c r="D40" s="453" t="str">
        <f>IF(D$7="","",IFERROR((D13/C13-1),""))</f>
        <v/>
      </c>
      <c r="E40" s="453" t="str">
        <f t="shared" ref="E40:G40" si="1">IF(E$7="","",IFERROR((E13/D13-1),""))</f>
        <v/>
      </c>
      <c r="F40" s="453" t="str">
        <f t="shared" si="1"/>
        <v/>
      </c>
      <c r="G40" s="453" t="str">
        <f t="shared" si="1"/>
        <v/>
      </c>
      <c r="H40" s="37"/>
      <c r="I40" s="466"/>
      <c r="J40" s="466"/>
      <c r="K40" s="466"/>
      <c r="L40" s="466"/>
      <c r="M40" s="466"/>
      <c r="N40" s="466"/>
      <c r="O40" s="466"/>
    </row>
    <row r="41" spans="1:15" x14ac:dyDescent="0.3">
      <c r="A41" s="452" t="s">
        <v>38</v>
      </c>
      <c r="B41" s="452"/>
      <c r="C41" s="464" t="str">
        <f>IF(C$7="","",IFERROR('Income Statement'!B8/'Balance Sheet'!B46,""))</f>
        <v/>
      </c>
      <c r="D41" s="464" t="str">
        <f>IF(D$7="","",IFERROR('Income Statement'!C8/'Balance Sheet'!C46,""))</f>
        <v/>
      </c>
      <c r="E41" s="464" t="str">
        <f>IF(E$7="","",IFERROR('Income Statement'!D8/'Balance Sheet'!D46,""))</f>
        <v/>
      </c>
      <c r="F41" s="464">
        <f>IF(F$7="","",IFERROR('Income Statement'!E8/'Balance Sheet'!E46,""))</f>
        <v>3.3349556112902583</v>
      </c>
      <c r="G41" s="464" t="str">
        <f>IF(G$7="","",IFERROR('Income Statement'!F8/'Balance Sheet'!F46,""))</f>
        <v/>
      </c>
      <c r="H41" s="37"/>
      <c r="I41" s="466"/>
      <c r="J41" s="466"/>
      <c r="K41" s="466"/>
      <c r="L41" s="466"/>
      <c r="M41" s="466"/>
      <c r="N41" s="466"/>
      <c r="O41" s="466"/>
    </row>
    <row r="42" spans="1:15" x14ac:dyDescent="0.3">
      <c r="A42" s="463" t="str">
        <f>"Increase in "&amp;A41</f>
        <v>Increase in Net sales / Short term bank borrowing</v>
      </c>
      <c r="B42" s="452"/>
      <c r="C42" s="464"/>
      <c r="D42" s="453" t="str">
        <f>IF(D$7="","",IFERROR((D41/C41-1),""))</f>
        <v/>
      </c>
      <c r="E42" s="453" t="str">
        <f>IF(E$7="","",IFERROR((E41/D41-1),""))</f>
        <v/>
      </c>
      <c r="F42" s="453" t="str">
        <f>IF(F$7="","",IFERROR((F41/E41-1),""))</f>
        <v/>
      </c>
      <c r="G42" s="453" t="str">
        <f>IF(G$7="","",IFERROR((G41/F41-1),""))</f>
        <v/>
      </c>
      <c r="H42" s="37"/>
      <c r="I42" s="466"/>
      <c r="J42" s="466"/>
      <c r="K42" s="466"/>
      <c r="L42" s="466"/>
      <c r="M42" s="466"/>
      <c r="N42" s="466"/>
      <c r="O42" s="466"/>
    </row>
    <row r="43" spans="1:15" x14ac:dyDescent="0.3">
      <c r="A43" s="37"/>
      <c r="B43" s="37"/>
      <c r="C43" s="37"/>
      <c r="D43" s="37"/>
      <c r="E43" s="37"/>
      <c r="F43" s="37"/>
      <c r="G43" s="37"/>
      <c r="H43" s="37"/>
      <c r="I43" s="37"/>
      <c r="J43" s="37"/>
      <c r="K43" s="37"/>
      <c r="L43" s="37"/>
      <c r="M43" s="37"/>
      <c r="N43" s="37"/>
      <c r="O43" s="37"/>
    </row>
    <row r="44" spans="1:15" x14ac:dyDescent="0.3">
      <c r="A44" s="447" t="s">
        <v>384</v>
      </c>
      <c r="B44" s="447"/>
      <c r="C44" s="448"/>
      <c r="D44" s="448"/>
      <c r="E44" s="448"/>
      <c r="F44" s="448"/>
      <c r="G44" s="449"/>
      <c r="H44" s="37"/>
      <c r="I44" s="450" t="str">
        <f>A44</f>
        <v>Cash Flow based ratios</v>
      </c>
      <c r="J44" s="451"/>
      <c r="K44" s="451"/>
      <c r="L44" s="451"/>
      <c r="M44" s="451"/>
      <c r="N44" s="451"/>
      <c r="O44" s="451"/>
    </row>
    <row r="45" spans="1:15" x14ac:dyDescent="0.3">
      <c r="A45" s="452" t="s">
        <v>385</v>
      </c>
      <c r="B45" s="452" t="s">
        <v>445</v>
      </c>
      <c r="C45" s="465" t="str">
        <f>IF(C$7="","",IFERROR('Income Statement'!B27/'Cashflow Statement'!B27,""))</f>
        <v/>
      </c>
      <c r="D45" s="465" t="str">
        <f>IF(D$7="","",IFERROR('Income Statement'!C27/'Cashflow Statement'!C27,""))</f>
        <v/>
      </c>
      <c r="E45" s="465" t="str">
        <f>IF(E$7="","",IFERROR('Income Statement'!D27/'Cashflow Statement'!D27,""))</f>
        <v/>
      </c>
      <c r="F45" s="465">
        <f>IF(F$7="","",IFERROR('Income Statement'!E27/'Cashflow Statement'!E27,""))</f>
        <v>-0.92909657800531198</v>
      </c>
      <c r="G45" s="465" t="str">
        <f>IF(G$7="","",IFERROR('Income Statement'!F27/'Cashflow Statement'!F27,""))</f>
        <v/>
      </c>
      <c r="H45" s="37"/>
      <c r="I45" s="466"/>
      <c r="J45" s="466"/>
      <c r="K45" s="466"/>
      <c r="L45" s="466"/>
      <c r="M45" s="466"/>
      <c r="N45" s="466"/>
      <c r="O45" s="466"/>
    </row>
    <row r="46" spans="1:15" x14ac:dyDescent="0.3">
      <c r="A46" s="452" t="s">
        <v>386</v>
      </c>
      <c r="B46" s="452" t="s">
        <v>387</v>
      </c>
      <c r="C46" s="465" t="str">
        <f>IF(C$7="","",IFERROR('Cashflow Statement'!B27/'Income Statement'!B21,""))</f>
        <v/>
      </c>
      <c r="D46" s="465" t="str">
        <f>IF(D$7="","",IFERROR('Cashflow Statement'!C27/'Income Statement'!C21,""))</f>
        <v/>
      </c>
      <c r="E46" s="465" t="str">
        <f>IF(E$7="","",IFERROR('Cashflow Statement'!D27/'Income Statement'!D21,""))</f>
        <v/>
      </c>
      <c r="F46" s="465">
        <f>IF(F$7="","",IFERROR('Cashflow Statement'!E27/'Income Statement'!E21,""))</f>
        <v>-8.1541117388575017</v>
      </c>
      <c r="G46" s="465" t="str">
        <f>IF(G$7="","",IFERROR('Cashflow Statement'!F27/'Income Statement'!F21,""))</f>
        <v/>
      </c>
      <c r="H46" s="37"/>
      <c r="I46" s="466"/>
      <c r="J46" s="466"/>
      <c r="K46" s="466"/>
      <c r="L46" s="466"/>
      <c r="M46" s="466"/>
      <c r="N46" s="466"/>
      <c r="O46" s="466"/>
    </row>
    <row r="47" spans="1:15" s="129" customFormat="1" ht="22.8" x14ac:dyDescent="0.3">
      <c r="A47" s="456" t="s">
        <v>388</v>
      </c>
      <c r="B47" s="457" t="s">
        <v>389</v>
      </c>
      <c r="C47" s="465" t="str">
        <f>IF(C$7="","",IFERROR('Cashflow Statement'!B27/('Income Statement'!B21+(-'Cashflow Statement'!B30)+(-'Cashflow Statement'!B31)),""))</f>
        <v/>
      </c>
      <c r="D47" s="465" t="str">
        <f>IF(D$7="","",IFERROR('Cashflow Statement'!C27/('Income Statement'!C21+(-'Cashflow Statement'!C30)+(-'Cashflow Statement'!C31)),""))</f>
        <v/>
      </c>
      <c r="E47" s="465" t="str">
        <f>IF(E$7="","",IFERROR('Cashflow Statement'!D27/('Income Statement'!D21+(-'Cashflow Statement'!D30)+(-'Cashflow Statement'!D31)),""))</f>
        <v/>
      </c>
      <c r="F47" s="465">
        <f>IF(F$7="","",IFERROR('Cashflow Statement'!E27/('Income Statement'!E21+(-'Cashflow Statement'!E30)+(-'Cashflow Statement'!E31)),""))</f>
        <v>-8.1541117388575017</v>
      </c>
      <c r="G47" s="465" t="str">
        <f>IF(G$7="","",IFERROR('Cashflow Statement'!F27/('Income Statement'!F21+(-'Cashflow Statement'!F30)+(-'Cashflow Statement'!F31)),""))</f>
        <v/>
      </c>
      <c r="H47" s="459"/>
      <c r="I47" s="467"/>
      <c r="J47" s="467"/>
      <c r="K47" s="467"/>
      <c r="L47" s="467"/>
      <c r="M47" s="467"/>
      <c r="N47" s="467"/>
      <c r="O47" s="467"/>
    </row>
    <row r="48" spans="1:15" x14ac:dyDescent="0.3">
      <c r="A48" s="452" t="s">
        <v>378</v>
      </c>
      <c r="B48" s="452" t="s">
        <v>379</v>
      </c>
      <c r="C48" s="453" t="str">
        <f>IF(C$7="","",IFERROR('Cashflow Statement'!B27/'Income Statement'!B8,""))</f>
        <v/>
      </c>
      <c r="D48" s="453" t="str">
        <f>IF(D$7="","",IFERROR('Cashflow Statement'!C27/'Income Statement'!C8,""))</f>
        <v/>
      </c>
      <c r="E48" s="453" t="str">
        <f>IF(E$7="","",IFERROR('Cashflow Statement'!D27/'Income Statement'!D8,""))</f>
        <v/>
      </c>
      <c r="F48" s="453">
        <f>IF(F$7="","",IFERROR('Cashflow Statement'!E27/'Income Statement'!E8,""))</f>
        <v>-7.7530044794871716E-2</v>
      </c>
      <c r="G48" s="453" t="str">
        <f>IF(G$7="","",IFERROR('Cashflow Statement'!F27/'Income Statement'!F8,""))</f>
        <v/>
      </c>
      <c r="H48" s="37"/>
      <c r="I48" s="466"/>
      <c r="J48" s="466"/>
      <c r="K48" s="466"/>
      <c r="L48" s="466"/>
      <c r="M48" s="466"/>
      <c r="N48" s="466"/>
      <c r="O48" s="466"/>
    </row>
    <row r="49" spans="1:15" x14ac:dyDescent="0.3">
      <c r="A49" s="37"/>
      <c r="B49" s="37"/>
      <c r="C49" s="37"/>
      <c r="D49" s="156"/>
      <c r="E49" s="156"/>
      <c r="F49" s="156"/>
      <c r="G49" s="156"/>
      <c r="H49" s="37"/>
      <c r="I49" s="37"/>
      <c r="J49" s="37"/>
      <c r="K49" s="37"/>
      <c r="L49" s="37"/>
      <c r="M49" s="37"/>
      <c r="N49" s="37"/>
      <c r="O49" s="37"/>
    </row>
    <row r="50" spans="1:15" x14ac:dyDescent="0.3">
      <c r="A50" s="37"/>
      <c r="B50" s="37"/>
      <c r="C50" s="37"/>
      <c r="D50" s="37"/>
      <c r="E50" s="37"/>
      <c r="F50" s="37"/>
      <c r="G50" s="37"/>
      <c r="H50" s="37"/>
      <c r="I50" s="37"/>
      <c r="J50" s="37"/>
      <c r="K50" s="37"/>
      <c r="L50" s="37"/>
      <c r="M50" s="37"/>
      <c r="N50" s="37"/>
      <c r="O50" s="37"/>
    </row>
    <row r="51" spans="1:15" x14ac:dyDescent="0.3">
      <c r="A51" s="37"/>
      <c r="B51" s="37"/>
      <c r="C51" s="37"/>
      <c r="D51" s="37"/>
      <c r="E51" s="37"/>
      <c r="F51" s="37"/>
      <c r="G51" s="37"/>
      <c r="H51" s="37"/>
      <c r="I51" s="37"/>
      <c r="J51" s="37"/>
      <c r="K51" s="37"/>
      <c r="L51" s="37"/>
      <c r="M51" s="37"/>
      <c r="N51" s="37"/>
      <c r="O51" s="37"/>
    </row>
    <row r="52" spans="1:15" x14ac:dyDescent="0.3">
      <c r="A52" s="37"/>
      <c r="B52" s="37"/>
      <c r="C52" s="37"/>
      <c r="D52" s="37"/>
      <c r="E52" s="37"/>
      <c r="F52" s="37"/>
      <c r="G52" s="37"/>
      <c r="H52" s="37"/>
      <c r="I52" s="37"/>
      <c r="J52" s="37"/>
      <c r="K52" s="37"/>
      <c r="L52" s="37"/>
      <c r="M52" s="37"/>
      <c r="N52" s="37"/>
      <c r="O52" s="37"/>
    </row>
    <row r="53" spans="1:15" x14ac:dyDescent="0.3">
      <c r="A53" s="37"/>
      <c r="B53" s="37"/>
      <c r="C53" s="37"/>
      <c r="D53" s="37"/>
      <c r="E53" s="37"/>
      <c r="F53" s="37"/>
      <c r="G53" s="37"/>
      <c r="H53" s="37"/>
      <c r="I53" s="37"/>
      <c r="J53" s="37"/>
      <c r="K53" s="37"/>
      <c r="L53" s="37"/>
      <c r="M53" s="37"/>
      <c r="N53" s="37"/>
      <c r="O53" s="37"/>
    </row>
    <row r="54" spans="1:15" x14ac:dyDescent="0.3">
      <c r="A54" s="37"/>
      <c r="B54" s="37"/>
      <c r="C54" s="37"/>
      <c r="D54" s="37"/>
      <c r="E54" s="37"/>
      <c r="F54" s="37"/>
      <c r="G54" s="37"/>
      <c r="H54" s="37"/>
      <c r="I54" s="37"/>
      <c r="J54" s="37"/>
      <c r="K54" s="37"/>
      <c r="L54" s="37"/>
      <c r="M54" s="37"/>
      <c r="N54" s="37"/>
      <c r="O54" s="37"/>
    </row>
    <row r="55" spans="1:15" x14ac:dyDescent="0.3">
      <c r="A55" s="37"/>
      <c r="B55" s="37"/>
      <c r="C55" s="37"/>
      <c r="D55" s="37"/>
      <c r="E55" s="37"/>
      <c r="F55" s="37"/>
      <c r="G55" s="37"/>
      <c r="H55" s="37"/>
      <c r="I55" s="37"/>
      <c r="J55" s="37"/>
      <c r="K55" s="37"/>
      <c r="L55" s="37"/>
      <c r="M55" s="37"/>
      <c r="N55" s="37"/>
      <c r="O55" s="37"/>
    </row>
    <row r="56" spans="1:15" x14ac:dyDescent="0.3">
      <c r="A56" s="37"/>
      <c r="B56" s="37"/>
      <c r="C56" s="37"/>
      <c r="D56" s="37"/>
      <c r="E56" s="37"/>
      <c r="F56" s="37"/>
      <c r="G56" s="37"/>
      <c r="H56" s="37"/>
      <c r="I56" s="37"/>
      <c r="J56" s="37"/>
      <c r="K56" s="37"/>
      <c r="L56" s="37"/>
      <c r="M56" s="37"/>
      <c r="N56" s="37"/>
      <c r="O56" s="37"/>
    </row>
    <row r="57" spans="1:15" x14ac:dyDescent="0.3">
      <c r="A57" s="37"/>
      <c r="B57" s="37"/>
      <c r="C57" s="37"/>
      <c r="D57" s="37"/>
      <c r="E57" s="37"/>
      <c r="F57" s="37"/>
      <c r="G57" s="37"/>
      <c r="H57" s="37"/>
      <c r="I57" s="37"/>
      <c r="J57" s="37"/>
      <c r="K57" s="37"/>
      <c r="L57" s="37"/>
      <c r="M57" s="37"/>
      <c r="N57" s="37"/>
      <c r="O57" s="37"/>
    </row>
    <row r="58" spans="1:15" x14ac:dyDescent="0.3">
      <c r="A58" s="37"/>
      <c r="B58" s="37"/>
      <c r="C58" s="37"/>
      <c r="D58" s="37"/>
      <c r="E58" s="37"/>
      <c r="F58" s="37"/>
      <c r="G58" s="37"/>
      <c r="H58" s="37"/>
      <c r="I58" s="37"/>
      <c r="J58" s="37"/>
      <c r="K58" s="37"/>
      <c r="L58" s="37"/>
      <c r="M58" s="37"/>
      <c r="N58" s="37"/>
      <c r="O58" s="37"/>
    </row>
    <row r="59" spans="1:15" x14ac:dyDescent="0.3">
      <c r="A59" s="37"/>
      <c r="B59" s="37"/>
      <c r="C59" s="37"/>
      <c r="D59" s="37"/>
      <c r="E59" s="37"/>
      <c r="F59" s="37"/>
      <c r="G59" s="37"/>
      <c r="H59" s="37"/>
      <c r="I59" s="37"/>
      <c r="J59" s="37"/>
      <c r="K59" s="37"/>
      <c r="L59" s="37"/>
      <c r="M59" s="37"/>
      <c r="N59" s="37"/>
      <c r="O59" s="37"/>
    </row>
    <row r="60" spans="1:15" x14ac:dyDescent="0.3">
      <c r="A60" s="37"/>
      <c r="B60" s="37"/>
      <c r="C60" s="37"/>
      <c r="D60" s="37"/>
      <c r="E60" s="37"/>
      <c r="F60" s="37"/>
      <c r="G60" s="37"/>
      <c r="H60" s="37"/>
      <c r="I60" s="37"/>
      <c r="J60" s="37"/>
      <c r="K60" s="37"/>
      <c r="L60" s="37"/>
      <c r="M60" s="37"/>
      <c r="N60" s="37"/>
      <c r="O60" s="37"/>
    </row>
    <row r="61" spans="1:15" x14ac:dyDescent="0.3">
      <c r="A61" s="37"/>
      <c r="B61" s="37"/>
      <c r="C61" s="37"/>
      <c r="D61" s="37"/>
      <c r="E61" s="37"/>
      <c r="F61" s="37"/>
      <c r="G61" s="37"/>
      <c r="H61" s="37"/>
      <c r="I61" s="37"/>
      <c r="J61" s="37"/>
      <c r="K61" s="37"/>
      <c r="L61" s="37"/>
      <c r="M61" s="37"/>
      <c r="N61" s="37"/>
      <c r="O61" s="37"/>
    </row>
    <row r="62" spans="1:15" x14ac:dyDescent="0.3">
      <c r="A62" s="37"/>
      <c r="B62" s="37"/>
      <c r="C62" s="37"/>
      <c r="D62" s="37"/>
      <c r="E62" s="37"/>
      <c r="F62" s="37"/>
      <c r="G62" s="37"/>
      <c r="H62" s="37"/>
      <c r="I62" s="37"/>
      <c r="J62" s="37"/>
      <c r="K62" s="37"/>
      <c r="L62" s="37"/>
      <c r="M62" s="37"/>
      <c r="N62" s="37"/>
      <c r="O62" s="37"/>
    </row>
    <row r="63" spans="1:15" x14ac:dyDescent="0.3">
      <c r="A63" s="37"/>
      <c r="B63" s="37"/>
      <c r="C63" s="37"/>
      <c r="D63" s="37"/>
      <c r="E63" s="37"/>
      <c r="F63" s="37"/>
      <c r="G63" s="37"/>
      <c r="H63" s="37"/>
      <c r="I63" s="37"/>
      <c r="J63" s="37"/>
      <c r="K63" s="37"/>
      <c r="L63" s="37"/>
      <c r="M63" s="37"/>
      <c r="N63" s="37"/>
      <c r="O63" s="37"/>
    </row>
    <row r="64" spans="1:15" x14ac:dyDescent="0.3">
      <c r="A64" s="37"/>
      <c r="B64" s="37"/>
      <c r="C64" s="37"/>
      <c r="D64" s="37"/>
      <c r="E64" s="37"/>
      <c r="F64" s="37"/>
      <c r="G64" s="37"/>
      <c r="H64" s="37"/>
      <c r="I64" s="37"/>
      <c r="J64" s="37"/>
      <c r="K64" s="37"/>
      <c r="L64" s="37"/>
      <c r="M64" s="37"/>
      <c r="N64" s="37"/>
      <c r="O64" s="37"/>
    </row>
    <row r="65" spans="1:15" x14ac:dyDescent="0.3">
      <c r="A65" s="37"/>
      <c r="B65" s="37"/>
      <c r="C65" s="37"/>
      <c r="D65" s="37"/>
      <c r="E65" s="37"/>
      <c r="F65" s="37"/>
      <c r="G65" s="37"/>
      <c r="H65" s="37"/>
      <c r="I65" s="37"/>
      <c r="J65" s="37"/>
      <c r="K65" s="37"/>
      <c r="L65" s="37"/>
      <c r="M65" s="37"/>
      <c r="N65" s="37"/>
      <c r="O65" s="37"/>
    </row>
    <row r="66" spans="1:15" x14ac:dyDescent="0.3">
      <c r="A66" s="37"/>
      <c r="B66" s="37"/>
      <c r="C66" s="37"/>
      <c r="D66" s="37"/>
      <c r="E66" s="37"/>
      <c r="F66" s="37"/>
      <c r="G66" s="37"/>
      <c r="H66" s="37"/>
      <c r="I66" s="37"/>
      <c r="J66" s="37"/>
      <c r="K66" s="37"/>
      <c r="L66" s="37"/>
      <c r="M66" s="37"/>
      <c r="N66" s="37"/>
      <c r="O66" s="37"/>
    </row>
    <row r="67" spans="1:15" x14ac:dyDescent="0.3">
      <c r="A67" s="37"/>
      <c r="B67" s="37"/>
      <c r="C67" s="37"/>
      <c r="D67" s="37"/>
      <c r="E67" s="37"/>
      <c r="F67" s="37"/>
      <c r="G67" s="37"/>
      <c r="H67" s="37"/>
      <c r="I67" s="37"/>
      <c r="J67" s="37"/>
      <c r="K67" s="37"/>
      <c r="L67" s="37"/>
      <c r="M67" s="37"/>
      <c r="N67" s="37"/>
      <c r="O67" s="37"/>
    </row>
    <row r="68" spans="1:15" x14ac:dyDescent="0.3">
      <c r="A68" s="37"/>
      <c r="B68" s="37"/>
      <c r="C68" s="37"/>
      <c r="D68" s="37"/>
      <c r="E68" s="37"/>
      <c r="F68" s="37"/>
      <c r="G68" s="37"/>
      <c r="H68" s="37"/>
      <c r="I68" s="37"/>
      <c r="J68" s="37"/>
      <c r="K68" s="37"/>
      <c r="L68" s="37"/>
      <c r="M68" s="37"/>
      <c r="N68" s="37"/>
      <c r="O68" s="37"/>
    </row>
    <row r="69" spans="1:15" x14ac:dyDescent="0.3">
      <c r="A69" s="37"/>
      <c r="B69" s="37"/>
      <c r="C69" s="37"/>
      <c r="D69" s="37"/>
      <c r="E69" s="37"/>
      <c r="F69" s="37"/>
      <c r="G69" s="37"/>
      <c r="H69" s="37"/>
      <c r="I69" s="37"/>
      <c r="J69" s="37"/>
      <c r="K69" s="37"/>
      <c r="L69" s="37"/>
      <c r="M69" s="37"/>
      <c r="N69" s="37"/>
      <c r="O69" s="37"/>
    </row>
    <row r="70" spans="1:15" x14ac:dyDescent="0.3">
      <c r="A70" s="37"/>
      <c r="B70" s="37"/>
      <c r="C70" s="37"/>
      <c r="D70" s="37"/>
      <c r="E70" s="37"/>
      <c r="F70" s="37"/>
      <c r="G70" s="37"/>
      <c r="H70" s="37"/>
      <c r="I70" s="37"/>
      <c r="J70" s="37"/>
      <c r="K70" s="37"/>
      <c r="L70" s="37"/>
      <c r="M70" s="37"/>
      <c r="N70" s="37"/>
      <c r="O70" s="37"/>
    </row>
    <row r="71" spans="1:15" x14ac:dyDescent="0.3">
      <c r="A71" s="37"/>
      <c r="B71" s="37"/>
      <c r="C71" s="37"/>
      <c r="D71" s="37"/>
      <c r="E71" s="37"/>
      <c r="F71" s="37"/>
      <c r="G71" s="37"/>
      <c r="H71" s="37"/>
      <c r="I71" s="37"/>
      <c r="J71" s="37"/>
      <c r="K71" s="37"/>
      <c r="L71" s="37"/>
      <c r="M71" s="37"/>
      <c r="N71" s="37"/>
      <c r="O71" s="37"/>
    </row>
    <row r="72" spans="1:15" x14ac:dyDescent="0.3">
      <c r="A72" s="37"/>
      <c r="B72" s="37"/>
      <c r="C72" s="37"/>
      <c r="D72" s="37"/>
      <c r="E72" s="37"/>
      <c r="F72" s="37"/>
      <c r="G72" s="37"/>
      <c r="H72" s="37"/>
      <c r="I72" s="37"/>
      <c r="J72" s="37"/>
      <c r="K72" s="37"/>
      <c r="L72" s="37"/>
      <c r="M72" s="37"/>
      <c r="N72" s="37"/>
      <c r="O72" s="37"/>
    </row>
    <row r="73" spans="1:15" x14ac:dyDescent="0.3">
      <c r="A73" s="37"/>
      <c r="B73" s="37"/>
      <c r="C73" s="37"/>
      <c r="D73" s="37"/>
      <c r="E73" s="37"/>
      <c r="F73" s="37"/>
      <c r="G73" s="37"/>
      <c r="H73" s="37"/>
      <c r="I73" s="37"/>
      <c r="J73" s="37"/>
      <c r="K73" s="37"/>
      <c r="L73" s="37"/>
      <c r="M73" s="37"/>
      <c r="N73" s="37"/>
      <c r="O73" s="37"/>
    </row>
    <row r="74" spans="1:15" x14ac:dyDescent="0.3">
      <c r="A74" s="37"/>
      <c r="B74" s="37"/>
      <c r="C74" s="37"/>
      <c r="D74" s="37"/>
      <c r="E74" s="37"/>
      <c r="F74" s="37"/>
      <c r="G74" s="37"/>
      <c r="H74" s="37"/>
      <c r="I74" s="37"/>
      <c r="J74" s="37"/>
      <c r="K74" s="37"/>
      <c r="L74" s="37"/>
      <c r="M74" s="37"/>
      <c r="N74" s="37"/>
      <c r="O74" s="37"/>
    </row>
    <row r="75" spans="1:15" x14ac:dyDescent="0.3">
      <c r="A75" s="37"/>
      <c r="B75" s="37"/>
      <c r="C75" s="37"/>
      <c r="D75" s="37"/>
      <c r="E75" s="37"/>
      <c r="F75" s="37"/>
      <c r="G75" s="37"/>
      <c r="H75" s="37"/>
      <c r="I75" s="37"/>
      <c r="J75" s="37"/>
      <c r="K75" s="37"/>
      <c r="L75" s="37"/>
      <c r="M75" s="37"/>
      <c r="N75" s="37"/>
      <c r="O75" s="37"/>
    </row>
    <row r="76" spans="1:15" x14ac:dyDescent="0.3">
      <c r="A76" s="37"/>
      <c r="B76" s="37"/>
      <c r="C76" s="37"/>
      <c r="D76" s="37"/>
      <c r="E76" s="37"/>
      <c r="F76" s="37"/>
      <c r="G76" s="37"/>
      <c r="H76" s="37"/>
      <c r="I76" s="37"/>
      <c r="J76" s="37"/>
      <c r="K76" s="37"/>
      <c r="L76" s="37"/>
      <c r="M76" s="37"/>
      <c r="N76" s="37"/>
      <c r="O76" s="37"/>
    </row>
    <row r="77" spans="1:15" x14ac:dyDescent="0.3">
      <c r="A77" s="37"/>
      <c r="B77" s="37"/>
      <c r="C77" s="37"/>
      <c r="D77" s="37"/>
      <c r="E77" s="37"/>
      <c r="F77" s="37"/>
      <c r="G77" s="37"/>
      <c r="H77" s="37"/>
      <c r="I77" s="37"/>
      <c r="J77" s="37"/>
      <c r="K77" s="37"/>
      <c r="L77" s="37"/>
      <c r="M77" s="37"/>
      <c r="N77" s="37"/>
      <c r="O77" s="37"/>
    </row>
    <row r="78" spans="1:15" x14ac:dyDescent="0.3">
      <c r="A78" s="37"/>
      <c r="B78" s="37"/>
      <c r="C78" s="37"/>
      <c r="D78" s="37"/>
      <c r="E78" s="37"/>
      <c r="F78" s="37"/>
      <c r="G78" s="37"/>
      <c r="H78" s="37"/>
      <c r="I78" s="37"/>
      <c r="J78" s="37"/>
      <c r="K78" s="37"/>
      <c r="L78" s="37"/>
      <c r="M78" s="37"/>
      <c r="N78" s="37"/>
      <c r="O78" s="37"/>
    </row>
    <row r="79" spans="1:15" x14ac:dyDescent="0.3">
      <c r="A79" s="37"/>
      <c r="B79" s="37"/>
      <c r="C79" s="37"/>
      <c r="D79" s="37"/>
      <c r="E79" s="37"/>
      <c r="F79" s="37"/>
      <c r="G79" s="37"/>
      <c r="H79" s="37"/>
      <c r="I79" s="37"/>
      <c r="J79" s="37"/>
      <c r="K79" s="37"/>
      <c r="L79" s="37"/>
      <c r="M79" s="37"/>
      <c r="N79" s="37"/>
      <c r="O79" s="37"/>
    </row>
    <row r="80" spans="1:15" x14ac:dyDescent="0.3">
      <c r="A80" s="37"/>
      <c r="B80" s="37"/>
      <c r="C80" s="37"/>
      <c r="D80" s="37"/>
      <c r="E80" s="37"/>
      <c r="F80" s="37"/>
      <c r="G80" s="37"/>
      <c r="H80" s="37"/>
      <c r="I80" s="37"/>
      <c r="J80" s="37"/>
      <c r="K80" s="37"/>
      <c r="L80" s="37"/>
      <c r="M80" s="37"/>
      <c r="N80" s="37"/>
      <c r="O80" s="37"/>
    </row>
    <row r="81" spans="1:15" x14ac:dyDescent="0.3">
      <c r="A81" s="37"/>
      <c r="B81" s="37"/>
      <c r="C81" s="37"/>
      <c r="D81" s="37"/>
      <c r="E81" s="37"/>
      <c r="F81" s="37"/>
      <c r="G81" s="37"/>
      <c r="H81" s="37"/>
      <c r="I81" s="37"/>
      <c r="J81" s="37"/>
      <c r="K81" s="37"/>
      <c r="L81" s="37"/>
      <c r="M81" s="37"/>
      <c r="N81" s="37"/>
      <c r="O81" s="37"/>
    </row>
    <row r="82" spans="1:15" x14ac:dyDescent="0.3">
      <c r="A82" s="37"/>
      <c r="B82" s="37"/>
      <c r="C82" s="37"/>
      <c r="D82" s="37"/>
      <c r="E82" s="37"/>
      <c r="F82" s="37"/>
      <c r="G82" s="37"/>
      <c r="H82" s="37"/>
      <c r="I82" s="37"/>
      <c r="J82" s="37"/>
      <c r="K82" s="37"/>
      <c r="L82" s="37"/>
      <c r="M82" s="37"/>
      <c r="N82" s="37"/>
      <c r="O82" s="37"/>
    </row>
    <row r="83" spans="1:15" x14ac:dyDescent="0.3">
      <c r="A83" s="37"/>
      <c r="B83" s="37"/>
      <c r="C83" s="37"/>
      <c r="D83" s="37"/>
      <c r="E83" s="37"/>
      <c r="F83" s="37"/>
      <c r="G83" s="37"/>
      <c r="H83" s="37"/>
      <c r="I83" s="37"/>
      <c r="J83" s="37"/>
      <c r="K83" s="37"/>
      <c r="L83" s="37"/>
      <c r="M83" s="37"/>
      <c r="N83" s="37"/>
      <c r="O83" s="37"/>
    </row>
    <row r="84" spans="1:15" x14ac:dyDescent="0.3">
      <c r="A84" s="37"/>
      <c r="B84" s="37"/>
      <c r="C84" s="37"/>
      <c r="D84" s="37"/>
      <c r="E84" s="37"/>
      <c r="F84" s="37"/>
      <c r="G84" s="37"/>
      <c r="H84" s="37"/>
      <c r="I84" s="37"/>
      <c r="J84" s="37"/>
      <c r="K84" s="37"/>
      <c r="L84" s="37"/>
      <c r="M84" s="37"/>
      <c r="N84" s="37"/>
      <c r="O84" s="37"/>
    </row>
    <row r="85" spans="1:15" x14ac:dyDescent="0.3">
      <c r="A85" s="37"/>
      <c r="B85" s="37"/>
      <c r="C85" s="37"/>
      <c r="D85" s="37"/>
      <c r="E85" s="37"/>
      <c r="F85" s="37"/>
      <c r="G85" s="37"/>
      <c r="H85" s="37"/>
      <c r="I85" s="37"/>
      <c r="J85" s="37"/>
      <c r="K85" s="37"/>
      <c r="L85" s="37"/>
      <c r="M85" s="37"/>
      <c r="N85" s="37"/>
      <c r="O85" s="37"/>
    </row>
    <row r="86" spans="1:15" x14ac:dyDescent="0.3">
      <c r="A86" s="37"/>
      <c r="B86" s="37"/>
      <c r="C86" s="37"/>
      <c r="D86" s="37"/>
      <c r="E86" s="37"/>
      <c r="F86" s="37"/>
      <c r="G86" s="37"/>
      <c r="H86" s="37"/>
      <c r="I86" s="37"/>
      <c r="J86" s="37"/>
      <c r="K86" s="37"/>
      <c r="L86" s="37"/>
      <c r="M86" s="37"/>
      <c r="N86" s="37"/>
      <c r="O86" s="37"/>
    </row>
    <row r="87" spans="1:15" x14ac:dyDescent="0.3">
      <c r="A87" s="37"/>
      <c r="B87" s="37"/>
      <c r="C87" s="37"/>
      <c r="D87" s="37"/>
      <c r="E87" s="37"/>
      <c r="F87" s="37"/>
      <c r="G87" s="37"/>
      <c r="H87" s="37"/>
      <c r="I87" s="37"/>
      <c r="J87" s="37"/>
      <c r="K87" s="37"/>
      <c r="L87" s="37"/>
      <c r="M87" s="37"/>
      <c r="N87" s="37"/>
      <c r="O87" s="37"/>
    </row>
    <row r="88" spans="1:15" x14ac:dyDescent="0.3">
      <c r="A88" s="37"/>
      <c r="B88" s="37"/>
      <c r="C88" s="37"/>
      <c r="D88" s="37"/>
      <c r="E88" s="37"/>
      <c r="F88" s="37"/>
      <c r="G88" s="37"/>
      <c r="H88" s="37"/>
      <c r="I88" s="37"/>
      <c r="J88" s="37"/>
      <c r="K88" s="37"/>
      <c r="L88" s="37"/>
      <c r="M88" s="37"/>
      <c r="N88" s="37"/>
      <c r="O88" s="37"/>
    </row>
    <row r="89" spans="1:15" x14ac:dyDescent="0.3">
      <c r="A89" s="37"/>
      <c r="B89" s="37"/>
      <c r="C89" s="37"/>
      <c r="D89" s="37"/>
      <c r="E89" s="37"/>
      <c r="F89" s="37"/>
      <c r="G89" s="37"/>
      <c r="H89" s="37"/>
      <c r="I89" s="37"/>
      <c r="J89" s="37"/>
      <c r="K89" s="37"/>
      <c r="L89" s="37"/>
      <c r="M89" s="37"/>
      <c r="N89" s="37"/>
      <c r="O89" s="37"/>
    </row>
    <row r="90" spans="1:15" x14ac:dyDescent="0.3">
      <c r="A90" s="37"/>
      <c r="B90" s="37"/>
      <c r="C90" s="37"/>
      <c r="D90" s="37"/>
      <c r="E90" s="37"/>
      <c r="F90" s="37"/>
      <c r="G90" s="37"/>
      <c r="H90" s="37"/>
      <c r="I90" s="37"/>
      <c r="J90" s="37"/>
      <c r="K90" s="37"/>
      <c r="L90" s="37"/>
      <c r="M90" s="37"/>
      <c r="N90" s="37"/>
      <c r="O90" s="37"/>
    </row>
    <row r="91" spans="1:15" x14ac:dyDescent="0.3">
      <c r="A91" s="37"/>
      <c r="B91" s="37"/>
      <c r="C91" s="37"/>
      <c r="D91" s="37"/>
      <c r="E91" s="37"/>
      <c r="F91" s="37"/>
      <c r="G91" s="37"/>
      <c r="H91" s="37"/>
      <c r="I91" s="37"/>
      <c r="J91" s="37"/>
      <c r="K91" s="37"/>
      <c r="L91" s="37"/>
      <c r="M91" s="37"/>
      <c r="N91" s="37"/>
      <c r="O91" s="37"/>
    </row>
    <row r="92" spans="1:15" x14ac:dyDescent="0.3">
      <c r="A92" s="37"/>
      <c r="B92" s="37"/>
      <c r="C92" s="37"/>
      <c r="D92" s="37"/>
      <c r="E92" s="37"/>
      <c r="F92" s="37"/>
      <c r="G92" s="37"/>
      <c r="H92" s="37"/>
      <c r="I92" s="37"/>
      <c r="J92" s="37"/>
      <c r="K92" s="37"/>
      <c r="L92" s="37"/>
      <c r="M92" s="37"/>
      <c r="N92" s="37"/>
      <c r="O92" s="37"/>
    </row>
    <row r="93" spans="1:15" x14ac:dyDescent="0.3">
      <c r="A93" s="37"/>
      <c r="B93" s="37"/>
      <c r="C93" s="37"/>
      <c r="D93" s="37"/>
      <c r="E93" s="37"/>
      <c r="F93" s="37"/>
      <c r="G93" s="37"/>
      <c r="H93" s="37"/>
      <c r="I93" s="37"/>
      <c r="J93" s="37"/>
      <c r="K93" s="37"/>
      <c r="L93" s="37"/>
      <c r="M93" s="37"/>
      <c r="N93" s="37"/>
      <c r="O93" s="37"/>
    </row>
    <row r="94" spans="1:15" x14ac:dyDescent="0.3">
      <c r="A94" s="37"/>
      <c r="B94" s="37"/>
      <c r="C94" s="37"/>
      <c r="D94" s="37"/>
      <c r="E94" s="37"/>
      <c r="F94" s="37"/>
      <c r="G94" s="37"/>
      <c r="H94" s="37"/>
      <c r="I94" s="37"/>
      <c r="J94" s="37"/>
      <c r="K94" s="37"/>
      <c r="L94" s="37"/>
      <c r="M94" s="37"/>
      <c r="N94" s="37"/>
      <c r="O94" s="37"/>
    </row>
    <row r="95" spans="1:15" x14ac:dyDescent="0.3">
      <c r="A95" s="37"/>
      <c r="B95" s="37"/>
      <c r="C95" s="37"/>
      <c r="D95" s="37"/>
      <c r="E95" s="37"/>
      <c r="F95" s="37"/>
      <c r="G95" s="37"/>
      <c r="H95" s="37"/>
      <c r="I95" s="37"/>
      <c r="J95" s="37"/>
      <c r="K95" s="37"/>
      <c r="L95" s="37"/>
      <c r="M95" s="37"/>
      <c r="N95" s="37"/>
      <c r="O95" s="37"/>
    </row>
    <row r="96" spans="1:15" x14ac:dyDescent="0.3">
      <c r="A96" s="37"/>
      <c r="B96" s="37"/>
      <c r="C96" s="37"/>
      <c r="D96" s="37"/>
      <c r="E96" s="37"/>
      <c r="F96" s="37"/>
      <c r="G96" s="37"/>
      <c r="H96" s="37"/>
      <c r="I96" s="37"/>
      <c r="J96" s="37"/>
      <c r="K96" s="37"/>
      <c r="L96" s="37"/>
      <c r="M96" s="37"/>
      <c r="N96" s="37"/>
      <c r="O96" s="37"/>
    </row>
    <row r="97" spans="1:15" x14ac:dyDescent="0.3">
      <c r="A97" s="37"/>
      <c r="B97" s="37"/>
      <c r="C97" s="37"/>
      <c r="D97" s="37"/>
      <c r="E97" s="37"/>
      <c r="F97" s="37"/>
      <c r="G97" s="37"/>
      <c r="H97" s="37"/>
      <c r="I97" s="37"/>
      <c r="J97" s="37"/>
      <c r="K97" s="37"/>
      <c r="L97" s="37"/>
      <c r="M97" s="37"/>
      <c r="N97" s="37"/>
      <c r="O97" s="37"/>
    </row>
  </sheetData>
  <sheetProtection password="C445" sheet="1" objects="1" scenarios="1" selectLockedCells="1"/>
  <mergeCells count="2">
    <mergeCell ref="A4:G4"/>
    <mergeCell ref="I4:O4"/>
  </mergeCells>
  <pageMargins left="0.18" right="0.18" top="0.79" bottom="0.72" header="0.3" footer="0.3"/>
  <pageSetup scale="7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FC129"/>
  <sheetViews>
    <sheetView showGridLines="0" topLeftCell="A17" workbookViewId="0">
      <selection activeCell="D33" sqref="D33"/>
    </sheetView>
  </sheetViews>
  <sheetFormatPr defaultColWidth="9.109375" defaultRowHeight="11.4" x14ac:dyDescent="0.2"/>
  <cols>
    <col min="1" max="1" width="4.5546875" style="37" customWidth="1"/>
    <col min="2" max="2" width="49.5546875" style="37" customWidth="1"/>
    <col min="3" max="3" width="19" style="37" bestFit="1" customWidth="1"/>
    <col min="4" max="4" width="17.33203125" style="37" customWidth="1"/>
    <col min="5" max="5" width="16.6640625" style="37" customWidth="1"/>
    <col min="6" max="6" width="16" style="37" customWidth="1"/>
    <col min="7" max="7" width="7.5546875" style="37" customWidth="1"/>
    <col min="8" max="8" width="15.88671875" style="37" customWidth="1"/>
    <col min="9" max="9" width="9.5546875" style="37" customWidth="1"/>
    <col min="10" max="10" width="12.6640625" style="37" customWidth="1"/>
    <col min="11" max="16384" width="9.109375" style="37"/>
  </cols>
  <sheetData>
    <row r="1" spans="1:159" ht="23.25" customHeight="1" x14ac:dyDescent="0.2">
      <c r="A1" s="537" t="str">
        <f>"CREDIT RISK RATING FOR CORPORATES - "&amp;'Cover page'!E9&amp;" "&amp;"SECTOR"</f>
        <v>CREDIT RISK RATING FOR CORPORATES - MANUFACTURING SECTOR</v>
      </c>
      <c r="B1" s="537"/>
      <c r="C1" s="537"/>
      <c r="D1" s="537"/>
      <c r="E1" s="537"/>
      <c r="F1" s="537"/>
      <c r="G1" s="537"/>
      <c r="H1" s="537"/>
      <c r="I1" s="537"/>
      <c r="J1" s="537"/>
    </row>
    <row r="2" spans="1:159" ht="5.25" customHeight="1" x14ac:dyDescent="0.2">
      <c r="A2" s="38"/>
      <c r="B2" s="38"/>
      <c r="C2" s="38"/>
      <c r="D2" s="38"/>
      <c r="E2" s="38"/>
      <c r="F2" s="38"/>
      <c r="G2" s="38"/>
      <c r="H2" s="38"/>
      <c r="I2" s="38"/>
      <c r="J2" s="38"/>
    </row>
    <row r="3" spans="1:159" ht="23.25" customHeight="1" x14ac:dyDescent="0.2">
      <c r="A3" s="538" t="s">
        <v>114</v>
      </c>
      <c r="B3" s="538"/>
      <c r="C3" s="538"/>
      <c r="D3" s="538"/>
      <c r="E3" s="538"/>
      <c r="F3" s="538"/>
      <c r="G3" s="538"/>
      <c r="H3" s="538"/>
      <c r="I3" s="538"/>
      <c r="J3" s="538"/>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39"/>
      <c r="AQ3" s="39"/>
      <c r="AR3" s="39"/>
      <c r="AS3" s="39"/>
      <c r="AT3" s="39"/>
      <c r="AU3" s="39"/>
      <c r="AV3" s="39"/>
      <c r="AW3" s="39"/>
      <c r="AX3" s="39"/>
      <c r="AY3" s="39"/>
      <c r="AZ3" s="39"/>
      <c r="BA3" s="39"/>
      <c r="BB3" s="39"/>
      <c r="BC3" s="39"/>
      <c r="BD3" s="39"/>
      <c r="BE3" s="39"/>
      <c r="BF3" s="39"/>
      <c r="BG3" s="39"/>
      <c r="BH3" s="39"/>
      <c r="BI3" s="39"/>
      <c r="BJ3" s="39"/>
      <c r="BK3" s="39"/>
      <c r="BL3" s="39"/>
      <c r="BM3" s="39"/>
      <c r="BN3" s="39"/>
      <c r="BO3" s="39"/>
      <c r="BP3" s="39"/>
      <c r="BQ3" s="39"/>
      <c r="BR3" s="39"/>
      <c r="BS3" s="39"/>
      <c r="BT3" s="39"/>
      <c r="BU3" s="39"/>
      <c r="BV3" s="39"/>
      <c r="BW3" s="39"/>
      <c r="BX3" s="39"/>
      <c r="BY3" s="39"/>
      <c r="BZ3" s="39"/>
      <c r="CA3" s="39"/>
      <c r="CB3" s="39"/>
      <c r="CC3" s="39"/>
      <c r="CD3" s="39"/>
      <c r="CE3" s="39"/>
      <c r="CF3" s="39"/>
      <c r="CG3" s="39"/>
      <c r="CH3" s="39"/>
      <c r="CI3" s="39"/>
      <c r="CJ3" s="39"/>
      <c r="CK3" s="39"/>
      <c r="CL3" s="39"/>
      <c r="CM3" s="39"/>
      <c r="CN3" s="39"/>
      <c r="CO3" s="39"/>
      <c r="CP3" s="39"/>
      <c r="CQ3" s="39"/>
      <c r="CR3" s="39"/>
      <c r="CS3" s="39"/>
      <c r="CT3" s="39"/>
      <c r="CU3" s="39"/>
      <c r="CV3" s="39"/>
      <c r="CW3" s="39"/>
      <c r="CX3" s="39"/>
      <c r="CY3" s="39"/>
      <c r="CZ3" s="39"/>
      <c r="DA3" s="39"/>
      <c r="DB3" s="39"/>
      <c r="DC3" s="39"/>
      <c r="DD3" s="39"/>
      <c r="DE3" s="39"/>
      <c r="DF3" s="39"/>
      <c r="DG3" s="39"/>
      <c r="DH3" s="39"/>
      <c r="DI3" s="39"/>
      <c r="DJ3" s="39"/>
      <c r="DK3" s="39"/>
      <c r="DL3" s="39"/>
      <c r="DM3" s="39"/>
      <c r="DN3" s="39"/>
      <c r="DO3" s="39"/>
      <c r="DP3" s="39"/>
      <c r="DQ3" s="39"/>
      <c r="DR3" s="39"/>
      <c r="DS3" s="39"/>
      <c r="DT3" s="39"/>
      <c r="DU3" s="39"/>
      <c r="DV3" s="39"/>
      <c r="DW3" s="39"/>
      <c r="DX3" s="39"/>
      <c r="DY3" s="39"/>
      <c r="DZ3" s="39"/>
      <c r="EA3" s="39"/>
      <c r="EB3" s="39"/>
      <c r="EC3" s="39"/>
      <c r="ED3" s="39"/>
      <c r="EE3" s="39"/>
      <c r="EF3" s="39"/>
      <c r="EG3" s="39"/>
      <c r="EH3" s="39"/>
      <c r="EI3" s="39"/>
      <c r="EJ3" s="39"/>
      <c r="EK3" s="39"/>
      <c r="EL3" s="39"/>
      <c r="EM3" s="39"/>
      <c r="EN3" s="39"/>
      <c r="EO3" s="39"/>
      <c r="EP3" s="39"/>
      <c r="EQ3" s="39"/>
      <c r="ER3" s="39"/>
      <c r="ES3" s="39"/>
      <c r="ET3" s="39"/>
      <c r="EU3" s="39"/>
      <c r="EV3" s="39"/>
      <c r="EW3" s="39"/>
      <c r="EX3" s="39"/>
      <c r="EY3" s="39"/>
      <c r="EZ3" s="39"/>
      <c r="FA3" s="39"/>
      <c r="FB3" s="39"/>
      <c r="FC3" s="39"/>
    </row>
    <row r="4" spans="1:159" ht="15" customHeight="1" thickBot="1" x14ac:dyDescent="0.25">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c r="AQ4" s="39"/>
      <c r="AR4" s="39"/>
      <c r="AS4" s="39"/>
      <c r="AT4" s="39"/>
      <c r="AU4" s="39"/>
      <c r="AV4" s="39"/>
      <c r="AW4" s="39"/>
      <c r="AX4" s="39"/>
      <c r="AY4" s="39"/>
      <c r="AZ4" s="39"/>
      <c r="BA4" s="39"/>
      <c r="BB4" s="39"/>
      <c r="BC4" s="39"/>
      <c r="BD4" s="39"/>
      <c r="BE4" s="39"/>
      <c r="BF4" s="39"/>
      <c r="BG4" s="39"/>
      <c r="BH4" s="39"/>
      <c r="BI4" s="39"/>
      <c r="BJ4" s="39"/>
      <c r="BK4" s="39"/>
      <c r="BL4" s="39"/>
      <c r="BM4" s="39"/>
      <c r="BN4" s="39"/>
      <c r="BO4" s="39"/>
      <c r="BP4" s="39"/>
      <c r="BQ4" s="39"/>
      <c r="BR4" s="39"/>
      <c r="BS4" s="39"/>
      <c r="BT4" s="39"/>
      <c r="BU4" s="39"/>
      <c r="BV4" s="39"/>
      <c r="BW4" s="39"/>
      <c r="BX4" s="39"/>
      <c r="BY4" s="39"/>
      <c r="BZ4" s="39"/>
      <c r="CA4" s="39"/>
      <c r="CB4" s="39"/>
      <c r="CC4" s="39"/>
      <c r="CD4" s="39"/>
      <c r="CE4" s="39"/>
      <c r="CF4" s="39"/>
      <c r="CG4" s="39"/>
      <c r="CH4" s="39"/>
      <c r="CI4" s="39"/>
      <c r="CJ4" s="39"/>
      <c r="CK4" s="39"/>
      <c r="CL4" s="39"/>
      <c r="CM4" s="39"/>
      <c r="CN4" s="39"/>
      <c r="CO4" s="39"/>
      <c r="CP4" s="39"/>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row>
    <row r="5" spans="1:159" ht="14.4" thickBot="1" x14ac:dyDescent="0.25">
      <c r="A5" s="539" t="s">
        <v>108</v>
      </c>
      <c r="B5" s="540"/>
      <c r="C5" s="540"/>
      <c r="D5" s="540"/>
      <c r="E5" s="540"/>
      <c r="F5" s="540"/>
      <c r="G5" s="540"/>
      <c r="H5" s="540"/>
      <c r="I5" s="540"/>
      <c r="J5" s="541"/>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39"/>
      <c r="BA5" s="39"/>
      <c r="BB5" s="39"/>
      <c r="BC5" s="39"/>
      <c r="BD5" s="39"/>
      <c r="BE5" s="39"/>
      <c r="BF5" s="39"/>
      <c r="BG5" s="39"/>
      <c r="BH5" s="39"/>
      <c r="BI5" s="39"/>
      <c r="BJ5" s="39"/>
      <c r="BK5" s="39"/>
      <c r="BL5" s="39"/>
      <c r="BM5" s="39"/>
      <c r="BN5" s="39"/>
      <c r="BO5" s="39"/>
      <c r="BP5" s="39"/>
      <c r="BQ5" s="39"/>
      <c r="BR5" s="39"/>
      <c r="BS5" s="39"/>
      <c r="BT5" s="39"/>
      <c r="BU5" s="39"/>
      <c r="BV5" s="39"/>
      <c r="BW5" s="39"/>
      <c r="BX5" s="39"/>
      <c r="BY5" s="39"/>
      <c r="BZ5" s="39"/>
      <c r="CA5" s="39"/>
      <c r="CB5" s="39"/>
      <c r="CC5" s="39"/>
      <c r="CD5" s="39"/>
      <c r="CE5" s="39"/>
      <c r="CF5" s="39"/>
      <c r="CG5" s="39"/>
      <c r="CH5" s="39"/>
      <c r="CI5" s="39"/>
      <c r="CJ5" s="39"/>
      <c r="CK5" s="39"/>
      <c r="CL5" s="39"/>
      <c r="CM5" s="39"/>
      <c r="CN5" s="39"/>
      <c r="CO5" s="39"/>
      <c r="CP5" s="39"/>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row>
    <row r="6" spans="1:159" ht="12" x14ac:dyDescent="0.2">
      <c r="A6" s="40"/>
      <c r="B6" s="41" t="s">
        <v>110</v>
      </c>
      <c r="C6" s="186" t="str">
        <f>IF('Cover page'!E7="","",'Cover page'!E7)</f>
        <v/>
      </c>
      <c r="D6" s="4"/>
      <c r="E6" s="41" t="s">
        <v>0</v>
      </c>
      <c r="F6" s="4"/>
      <c r="G6" s="9"/>
      <c r="H6" s="42"/>
      <c r="I6" s="43" t="s">
        <v>1</v>
      </c>
      <c r="J6" s="10"/>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39"/>
      <c r="BY6" s="39"/>
      <c r="BZ6" s="39"/>
      <c r="CA6" s="39"/>
      <c r="CB6" s="39"/>
      <c r="CC6" s="39"/>
      <c r="CD6" s="39"/>
      <c r="CE6" s="39"/>
      <c r="CF6" s="39"/>
      <c r="CG6" s="39"/>
      <c r="CH6" s="39"/>
      <c r="CI6" s="39"/>
      <c r="CJ6" s="39"/>
      <c r="CK6" s="39"/>
      <c r="CL6" s="39"/>
      <c r="CM6" s="39"/>
      <c r="CN6" s="39"/>
      <c r="CO6" s="39"/>
      <c r="CP6" s="39"/>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row>
    <row r="7" spans="1:159" ht="12" x14ac:dyDescent="0.2">
      <c r="A7" s="44"/>
      <c r="B7" s="45" t="s">
        <v>2</v>
      </c>
      <c r="C7" s="2"/>
      <c r="D7" s="1"/>
      <c r="E7" s="45" t="s">
        <v>3</v>
      </c>
      <c r="F7" s="1"/>
      <c r="G7" s="11"/>
      <c r="H7" s="46" t="s">
        <v>4</v>
      </c>
      <c r="I7" s="47"/>
      <c r="J7" s="12"/>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row>
    <row r="8" spans="1:159" ht="12" x14ac:dyDescent="0.25">
      <c r="A8" s="44"/>
      <c r="B8" s="48" t="s">
        <v>106</v>
      </c>
      <c r="C8" s="1"/>
      <c r="D8" s="1"/>
      <c r="E8" s="31"/>
      <c r="F8" s="1"/>
      <c r="G8" s="13"/>
      <c r="H8" s="33"/>
      <c r="I8" s="47"/>
      <c r="J8" s="12"/>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row>
    <row r="9" spans="1:159" ht="12" x14ac:dyDescent="0.25">
      <c r="A9" s="44"/>
      <c r="B9" s="49" t="s">
        <v>15</v>
      </c>
      <c r="C9" s="187" t="s">
        <v>5</v>
      </c>
      <c r="D9" s="5"/>
      <c r="E9" s="35"/>
      <c r="F9" s="2" t="s">
        <v>105</v>
      </c>
      <c r="G9" s="14"/>
      <c r="H9" s="34"/>
      <c r="I9" s="31" t="s">
        <v>104</v>
      </c>
      <c r="J9" s="15"/>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c r="CG9" s="39"/>
      <c r="CH9" s="39"/>
      <c r="CI9" s="39"/>
      <c r="CJ9" s="39"/>
      <c r="CK9" s="39"/>
      <c r="CL9" s="39"/>
      <c r="CM9" s="39"/>
      <c r="CN9" s="39"/>
      <c r="CO9" s="39"/>
      <c r="CP9" s="39"/>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row>
    <row r="10" spans="1:159" ht="12" x14ac:dyDescent="0.25">
      <c r="A10" s="44"/>
      <c r="B10" s="50" t="s">
        <v>16</v>
      </c>
      <c r="C10" s="187" t="s">
        <v>5</v>
      </c>
      <c r="D10" s="5"/>
      <c r="E10" s="35"/>
      <c r="F10" s="2" t="s">
        <v>105</v>
      </c>
      <c r="G10" s="14"/>
      <c r="H10" s="34"/>
      <c r="I10" s="31" t="s">
        <v>104</v>
      </c>
      <c r="J10" s="15"/>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row>
    <row r="11" spans="1:159" ht="12" x14ac:dyDescent="0.2">
      <c r="A11" s="44"/>
      <c r="B11" s="51" t="s">
        <v>6</v>
      </c>
      <c r="C11" s="187" t="s">
        <v>5</v>
      </c>
      <c r="D11" s="5"/>
      <c r="E11" s="35"/>
      <c r="F11" s="2" t="s">
        <v>105</v>
      </c>
      <c r="G11" s="6"/>
      <c r="H11" s="35"/>
      <c r="I11" s="31" t="s">
        <v>104</v>
      </c>
      <c r="J11" s="15"/>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row>
    <row r="12" spans="1:159" ht="12.6" thickBot="1" x14ac:dyDescent="0.25">
      <c r="A12" s="52"/>
      <c r="B12" s="53" t="s">
        <v>7</v>
      </c>
      <c r="C12" s="188" t="s">
        <v>5</v>
      </c>
      <c r="D12" s="7"/>
      <c r="E12" s="36"/>
      <c r="F12" s="3" t="s">
        <v>105</v>
      </c>
      <c r="G12" s="8"/>
      <c r="H12" s="36"/>
      <c r="I12" s="32" t="s">
        <v>104</v>
      </c>
      <c r="J12" s="16"/>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row>
    <row r="13" spans="1:159" ht="12" x14ac:dyDescent="0.2">
      <c r="A13" s="54"/>
      <c r="B13" s="55"/>
      <c r="C13" s="56"/>
      <c r="D13" s="57"/>
      <c r="E13" s="58"/>
      <c r="F13" s="59"/>
      <c r="G13" s="58"/>
      <c r="H13" s="58"/>
      <c r="I13" s="56"/>
      <c r="J13" s="57"/>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row>
    <row r="14" spans="1:159" ht="18" customHeight="1" thickBot="1" x14ac:dyDescent="0.25">
      <c r="A14" s="60" t="s">
        <v>41</v>
      </c>
      <c r="B14" s="61" t="s">
        <v>42</v>
      </c>
      <c r="C14" s="62"/>
      <c r="D14" s="62"/>
      <c r="E14" s="56"/>
      <c r="F14" s="56"/>
      <c r="G14" s="56"/>
      <c r="H14" s="56"/>
      <c r="I14" s="63"/>
      <c r="J14" s="56"/>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row>
    <row r="15" spans="1:159" ht="24.6" thickBot="1" x14ac:dyDescent="0.25">
      <c r="A15" s="65" t="s">
        <v>103</v>
      </c>
      <c r="B15" s="66" t="s">
        <v>8</v>
      </c>
      <c r="C15" s="67" t="s">
        <v>18</v>
      </c>
      <c r="D15" s="67" t="s">
        <v>9</v>
      </c>
      <c r="E15" s="68" t="s">
        <v>109</v>
      </c>
      <c r="F15" s="69" t="s">
        <v>20</v>
      </c>
      <c r="G15" s="63"/>
      <c r="H15" s="56"/>
      <c r="I15" s="63"/>
      <c r="J15" s="56"/>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c r="EE15" s="64"/>
      <c r="EF15" s="64"/>
      <c r="EG15" s="64"/>
      <c r="EH15" s="64"/>
      <c r="EI15" s="64"/>
      <c r="EJ15" s="64"/>
      <c r="EK15" s="64"/>
      <c r="EL15" s="64"/>
      <c r="EM15" s="64"/>
      <c r="EN15" s="64"/>
      <c r="EO15" s="64"/>
      <c r="EP15" s="64"/>
      <c r="EQ15" s="64"/>
      <c r="ER15" s="64"/>
      <c r="ES15" s="64"/>
      <c r="ET15" s="64"/>
      <c r="EU15" s="64"/>
      <c r="EV15" s="64"/>
      <c r="EW15" s="64"/>
      <c r="EX15" s="64"/>
      <c r="EY15" s="64"/>
    </row>
    <row r="16" spans="1:159" ht="16.5" customHeight="1" x14ac:dyDescent="0.2">
      <c r="A16" s="70">
        <v>1</v>
      </c>
      <c r="B16" s="71" t="s">
        <v>102</v>
      </c>
      <c r="C16" s="72" t="s">
        <v>115</v>
      </c>
      <c r="D16" s="72" t="s">
        <v>115</v>
      </c>
      <c r="E16" s="72" t="s">
        <v>115</v>
      </c>
      <c r="F16" s="73" t="s">
        <v>115</v>
      </c>
      <c r="G16" s="146"/>
      <c r="H16" s="56"/>
      <c r="I16" s="63"/>
      <c r="J16" s="56"/>
      <c r="K16" s="74"/>
      <c r="L16" s="74"/>
      <c r="M16" s="74"/>
      <c r="N16" s="74"/>
      <c r="O16" s="74"/>
      <c r="P16" s="74"/>
      <c r="Q16" s="74"/>
      <c r="R16" s="74"/>
      <c r="S16" s="74"/>
      <c r="T16" s="74"/>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row>
    <row r="17" spans="1:155" x14ac:dyDescent="0.2">
      <c r="A17" s="75" t="s">
        <v>14</v>
      </c>
      <c r="B17" s="76" t="s">
        <v>17</v>
      </c>
      <c r="C17" s="437">
        <f>IF('Ratio Analysis'!F17="","Data not available",'Ratio Analysis'!F17)</f>
        <v>4.5641872267571619</v>
      </c>
      <c r="D17" s="17">
        <f>IF(C17="","",IF(C17="Not applicable","-",IF(C17="Data not available",0,IF(C17&lt;0,0,IF(C17&lt;1,4,IF(C17&lt;=2.5,3,IF(C17&lt;=4,2,IF(C17&lt;=5,1,IF(C17&gt;5,0,0)))))))))</f>
        <v>1</v>
      </c>
      <c r="E17" s="18">
        <f>IF(C17="","",IF(C17="Not applicable","-",4))</f>
        <v>4</v>
      </c>
      <c r="F17" s="19">
        <f>IF(C17="","",IF(C17="Not applicable","-",4))</f>
        <v>4</v>
      </c>
      <c r="H17" s="145">
        <f>IF(D17="-",0,D17)</f>
        <v>1</v>
      </c>
      <c r="I17" s="145">
        <f>IF(E17="-",0,E17)</f>
        <v>4</v>
      </c>
      <c r="J17" s="145">
        <f>IF(F17="-",0,F17)</f>
        <v>4</v>
      </c>
      <c r="K17" s="177"/>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row>
    <row r="18" spans="1:155" x14ac:dyDescent="0.2">
      <c r="A18" s="75" t="s">
        <v>13</v>
      </c>
      <c r="B18" s="76" t="s">
        <v>10</v>
      </c>
      <c r="C18" s="437">
        <f>IF('Ratio Analysis'!F22="","Data not available",'Ratio Analysis'!F22)</f>
        <v>0.95116216759327488</v>
      </c>
      <c r="D18" s="17">
        <f>IF(C18="","",IF(C18="Not applicable","-",IF(C18="Data not available",0,IF(C18&lt;1,0,IF(C18&lt;=1.25,1,IF(C18&lt;=1.5,2,IF(C18&lt;=2,3,IF(C18&gt;2,4,0))))))))</f>
        <v>0</v>
      </c>
      <c r="E18" s="18">
        <f>IF(C18="","",IF(C18="Not applicable","-",4))</f>
        <v>4</v>
      </c>
      <c r="F18" s="19">
        <f>IF(C18="","",IF(C18="Not applicable","-",3))</f>
        <v>3</v>
      </c>
      <c r="G18" s="146"/>
      <c r="H18" s="145">
        <f t="shared" ref="H18:H21" si="0">IF(D18="-",0,D18)</f>
        <v>0</v>
      </c>
      <c r="I18" s="145">
        <f t="shared" ref="I18:I21" si="1">IF(E18="-",0,E18)</f>
        <v>4</v>
      </c>
      <c r="J18" s="145">
        <f t="shared" ref="J18:J21" si="2">IF(F18="-",0,F18)</f>
        <v>3</v>
      </c>
      <c r="K18" s="177"/>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row>
    <row r="19" spans="1:155" x14ac:dyDescent="0.2">
      <c r="A19" s="75" t="s">
        <v>27</v>
      </c>
      <c r="B19" s="76" t="s">
        <v>19</v>
      </c>
      <c r="C19" s="437">
        <f>IF('Ratio Analysis'!F31="","Data not available",'Ratio Analysis'!F31)</f>
        <v>8.5759573132454481</v>
      </c>
      <c r="D19" s="17">
        <f>IF(C19="","",IF(C19="Not applicable","-",IF(C19="Data not available",0,IF(C19&lt;1,0,IF(C19&lt;=1.25,1,IF(C19&lt;=1.5,2,IF(C19&lt;=2,3,IF(C19&gt;2,4,0))))))))</f>
        <v>4</v>
      </c>
      <c r="E19" s="18">
        <f>IF(C19="","",IF(C19="Not applicable","-",4))</f>
        <v>4</v>
      </c>
      <c r="F19" s="19">
        <f>IF(C19="","",IF(C19="Not applicable","-",2))</f>
        <v>2</v>
      </c>
      <c r="G19" s="146"/>
      <c r="H19" s="145">
        <f t="shared" si="0"/>
        <v>4</v>
      </c>
      <c r="I19" s="145">
        <f t="shared" si="1"/>
        <v>4</v>
      </c>
      <c r="J19" s="145">
        <f t="shared" si="2"/>
        <v>2</v>
      </c>
      <c r="K19" s="177"/>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row>
    <row r="20" spans="1:155" x14ac:dyDescent="0.2">
      <c r="A20" s="75" t="s">
        <v>12</v>
      </c>
      <c r="B20" s="76" t="s">
        <v>11</v>
      </c>
      <c r="C20" s="468">
        <f>IF('Ratio Analysis'!F11="","Data not available",'Ratio Analysis'!F11)</f>
        <v>0.84450762787000522</v>
      </c>
      <c r="D20" s="17">
        <f>IF(C20="","",IF(C20="Not applicable","-",IF(C20="Data not available",0,IF(C20&lt;=8%,0,IF(C20&lt;=12%,1,IF(C20&lt;=15%,2,IF(C20&lt;=25%,3,IF(C20&gt;25%,4,0))))))))</f>
        <v>4</v>
      </c>
      <c r="E20" s="18">
        <f>IF(C20="","",IF(C20="Not applicable","-",4))</f>
        <v>4</v>
      </c>
      <c r="F20" s="19">
        <f>IF(C20="","",IF(C20="Not applicable","-",2))</f>
        <v>2</v>
      </c>
      <c r="G20" s="146"/>
      <c r="H20" s="145">
        <f t="shared" si="0"/>
        <v>4</v>
      </c>
      <c r="I20" s="145">
        <f t="shared" si="1"/>
        <v>4</v>
      </c>
      <c r="J20" s="145">
        <f t="shared" si="2"/>
        <v>2</v>
      </c>
      <c r="K20" s="177"/>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row>
    <row r="21" spans="1:155" x14ac:dyDescent="0.2">
      <c r="A21" s="75" t="s">
        <v>37</v>
      </c>
      <c r="B21" s="76" t="s">
        <v>101</v>
      </c>
      <c r="C21" s="437">
        <f>IF('Ratio Analysis'!F12="","Data not available",'Ratio Analysis'!F12)</f>
        <v>4.4351757624230412</v>
      </c>
      <c r="D21" s="17">
        <f>IF(C21="","",IF(C21="Not applicable","-",IF(C21="Data not available",0,IF(C21&lt;0,"Pls check",IF(C21&lt;=3,4,IF(C21&lt;=4,3,IF(C21&lt;=5,2,IF(C21&lt;=6,1,IF(C21&gt;6,0,0)))))))))</f>
        <v>2</v>
      </c>
      <c r="E21" s="18">
        <f>IF(C21="","",IF(C21="Not applicable","-",4))</f>
        <v>4</v>
      </c>
      <c r="F21" s="19">
        <f>IF(C21="","",IF(C21="Not applicable","-",4))</f>
        <v>4</v>
      </c>
      <c r="G21" s="146"/>
      <c r="H21" s="145">
        <f t="shared" si="0"/>
        <v>2</v>
      </c>
      <c r="I21" s="145">
        <f t="shared" si="1"/>
        <v>4</v>
      </c>
      <c r="J21" s="145">
        <f t="shared" si="2"/>
        <v>4</v>
      </c>
      <c r="K21" s="177"/>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row>
    <row r="22" spans="1:155" ht="12.6" thickBot="1" x14ac:dyDescent="0.25">
      <c r="A22" s="77"/>
      <c r="B22" s="78" t="s">
        <v>100</v>
      </c>
      <c r="C22" s="27"/>
      <c r="D22" s="20">
        <f>IFERROR(SUMPRODUCT(D17:D21,F17:F21)/SUM(F17:F21),"-")</f>
        <v>1.8666666666666667</v>
      </c>
      <c r="E22" s="132">
        <f>IFERROR(AVERAGE(E17:E21),"-")</f>
        <v>4</v>
      </c>
      <c r="F22" s="21"/>
      <c r="G22" s="146"/>
      <c r="H22" s="178">
        <f>SUMPRODUCT(H17:H21,J17:J21)/SUM(J17:J21)</f>
        <v>1.8666666666666667</v>
      </c>
      <c r="I22" s="138">
        <f>IF(E22="-",0,E22)</f>
        <v>4</v>
      </c>
      <c r="J22" s="138"/>
      <c r="K22" s="177"/>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row>
    <row r="23" spans="1:155" ht="16.5" customHeight="1" x14ac:dyDescent="0.2">
      <c r="A23" s="70">
        <v>2</v>
      </c>
      <c r="B23" s="79" t="s">
        <v>21</v>
      </c>
      <c r="C23" s="22"/>
      <c r="D23" s="22"/>
      <c r="E23" s="22"/>
      <c r="F23" s="23"/>
      <c r="G23" s="146"/>
      <c r="H23" s="138" t="s">
        <v>9</v>
      </c>
      <c r="I23" s="139" t="s">
        <v>109</v>
      </c>
      <c r="J23" s="138"/>
      <c r="K23" s="177"/>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row>
    <row r="24" spans="1:155" ht="12" x14ac:dyDescent="0.2">
      <c r="A24" s="75" t="s">
        <v>14</v>
      </c>
      <c r="B24" s="76" t="s">
        <v>22</v>
      </c>
      <c r="C24" s="80"/>
      <c r="D24" s="130">
        <v>4</v>
      </c>
      <c r="E24" s="18">
        <f>IF(D24="","",IF(D24="Not applicable","-",4))</f>
        <v>4</v>
      </c>
      <c r="F24" s="25"/>
      <c r="G24" s="146"/>
      <c r="H24" s="179">
        <f>IF(OR(D24="Not applicable",D24="data not available"),0,D24)</f>
        <v>4</v>
      </c>
      <c r="I24" s="179">
        <f>IF(D24="Not applicable",0,4)</f>
        <v>4</v>
      </c>
      <c r="J24" s="138" t="s">
        <v>128</v>
      </c>
      <c r="K24" s="177"/>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row>
    <row r="25" spans="1:155" x14ac:dyDescent="0.2">
      <c r="A25" s="75" t="s">
        <v>13</v>
      </c>
      <c r="B25" s="76" t="s">
        <v>23</v>
      </c>
      <c r="C25" s="80"/>
      <c r="D25" s="26"/>
      <c r="E25" s="26"/>
      <c r="F25" s="25"/>
      <c r="G25" s="146"/>
      <c r="H25" s="138"/>
      <c r="I25" s="139"/>
      <c r="J25" s="144" t="s">
        <v>129</v>
      </c>
      <c r="K25" s="177"/>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row>
    <row r="26" spans="1:155" x14ac:dyDescent="0.2">
      <c r="A26" s="75"/>
      <c r="B26" s="76" t="s">
        <v>24</v>
      </c>
      <c r="C26" s="437" t="str">
        <f>IF('Cover page'!O11="","Not applicable",IF('Ratio Analysis'!G22="","Data not available",'Ratio Analysis'!G22))</f>
        <v>Not applicable</v>
      </c>
      <c r="D26" s="17" t="str">
        <f>IF(C26="","",IF(C26="Not applicable","-",IF(C26="Data not available",0,IF(C26&lt;1,0,IF(C26&lt;=1.25,1,IF(C26&lt;=1.5,2,IF(C26&lt;=2,3,IF(C26&gt;2,4,0))))))))</f>
        <v>-</v>
      </c>
      <c r="E26" s="18" t="str">
        <f>IF(C26="","",IF(C26="Not applicable","-",4))</f>
        <v>-</v>
      </c>
      <c r="F26" s="25"/>
      <c r="G26" s="63"/>
      <c r="H26" s="138" t="str">
        <f t="shared" ref="H26:I28" si="3">D26</f>
        <v>-</v>
      </c>
      <c r="I26" s="138" t="str">
        <f t="shared" si="3"/>
        <v>-</v>
      </c>
      <c r="J26" s="138">
        <v>0</v>
      </c>
      <c r="K26" s="177"/>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row>
    <row r="27" spans="1:155" x14ac:dyDescent="0.2">
      <c r="A27" s="75"/>
      <c r="B27" s="76" t="s">
        <v>25</v>
      </c>
      <c r="C27" s="437" t="str">
        <f>IF('Cover page'!O11="","Not applicable",IF('Ratio Analysis'!G17="","Data not available",'Ratio Analysis'!G17))</f>
        <v>Not applicable</v>
      </c>
      <c r="D27" s="17" t="str">
        <f>IF(C27="","",IF(C27="Not applicable","-",IF(C27="Data not available",0,IF(C27&lt;0,0,IF(C27&lt;1,4,IF(C27&lt;=2.5,3,IF(C27&lt;=4,2,IF(C27&lt;=5,1,IF(C27&gt;5,0,0)))))))))</f>
        <v>-</v>
      </c>
      <c r="E27" s="18" t="str">
        <f>IF(C27="","",IF(C27="Not applicable","-",4))</f>
        <v>-</v>
      </c>
      <c r="F27" s="25"/>
      <c r="G27" s="63"/>
      <c r="H27" s="138" t="str">
        <f t="shared" si="3"/>
        <v>-</v>
      </c>
      <c r="I27" s="138" t="str">
        <f t="shared" si="3"/>
        <v>-</v>
      </c>
      <c r="J27" s="138">
        <v>1</v>
      </c>
      <c r="K27" s="177"/>
      <c r="L27" s="74"/>
      <c r="M27" s="74"/>
      <c r="N27" s="74"/>
      <c r="O27" s="74"/>
      <c r="P27" s="74"/>
      <c r="Q27" s="74"/>
      <c r="R27" s="74"/>
      <c r="S27" s="74"/>
      <c r="T27" s="74"/>
      <c r="U27" s="74"/>
      <c r="V27" s="74"/>
      <c r="W27" s="74"/>
      <c r="X27" s="74"/>
      <c r="Y27" s="74"/>
      <c r="Z27" s="74"/>
      <c r="AA27" s="74"/>
      <c r="AB27" s="74"/>
      <c r="AC27" s="74"/>
      <c r="AD27" s="74"/>
      <c r="AE27" s="74"/>
      <c r="AF27" s="74"/>
      <c r="AG27" s="74"/>
      <c r="AH27" s="74"/>
      <c r="AI27" s="74"/>
      <c r="AJ27" s="74"/>
      <c r="AK27" s="74"/>
      <c r="AL27" s="74"/>
      <c r="AM27" s="74"/>
      <c r="AN27" s="74"/>
      <c r="AO27" s="74"/>
      <c r="AP27" s="74"/>
      <c r="AQ27" s="74"/>
      <c r="AR27" s="74"/>
      <c r="AS27" s="74"/>
      <c r="AT27" s="74"/>
      <c r="AU27" s="74"/>
      <c r="AV27" s="74"/>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c r="BU27" s="74"/>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c r="CV27" s="74"/>
      <c r="CW27" s="74"/>
      <c r="CX27" s="74"/>
      <c r="CY27" s="74"/>
      <c r="CZ27" s="74"/>
      <c r="DA27" s="74"/>
      <c r="DB27" s="74"/>
      <c r="DC27" s="74"/>
      <c r="DD27" s="74"/>
      <c r="DE27" s="74"/>
      <c r="DF27" s="74"/>
      <c r="DG27" s="74"/>
      <c r="DH27" s="74"/>
      <c r="DI27" s="74"/>
      <c r="DJ27" s="74"/>
      <c r="DK27" s="74"/>
      <c r="DL27" s="74"/>
      <c r="DM27" s="74"/>
      <c r="DN27" s="74"/>
      <c r="DO27" s="74"/>
      <c r="DP27" s="74"/>
      <c r="DQ27" s="74"/>
      <c r="DR27" s="74"/>
      <c r="DS27" s="74"/>
      <c r="DT27" s="74"/>
      <c r="DU27" s="74"/>
      <c r="DV27" s="74"/>
      <c r="DW27" s="74"/>
      <c r="DX27" s="74"/>
      <c r="DY27" s="74"/>
      <c r="DZ27" s="74"/>
      <c r="EA27" s="74"/>
      <c r="EB27" s="74"/>
      <c r="EC27" s="74"/>
      <c r="ED27" s="74"/>
      <c r="EE27" s="74"/>
      <c r="EF27" s="74"/>
      <c r="EG27" s="74"/>
      <c r="EH27" s="74"/>
      <c r="EI27" s="74"/>
      <c r="EJ27" s="74"/>
      <c r="EK27" s="74"/>
      <c r="EL27" s="74"/>
      <c r="EM27" s="74"/>
      <c r="EN27" s="74"/>
      <c r="EO27" s="74"/>
      <c r="EP27" s="74"/>
      <c r="EQ27" s="74"/>
      <c r="ER27" s="74"/>
      <c r="ES27" s="74"/>
      <c r="ET27" s="74"/>
      <c r="EU27" s="74"/>
      <c r="EV27" s="74"/>
      <c r="EW27" s="74"/>
      <c r="EX27" s="74"/>
      <c r="EY27" s="74"/>
    </row>
    <row r="28" spans="1:155" x14ac:dyDescent="0.2">
      <c r="A28" s="75"/>
      <c r="B28" s="76" t="s">
        <v>26</v>
      </c>
      <c r="C28" s="468" t="str">
        <f>IF('Cover page'!O11="","Not applicable",IF('Ratio Analysis'!G11="","Data not available",'Ratio Analysis'!G11))</f>
        <v>Not applicable</v>
      </c>
      <c r="D28" s="17" t="str">
        <f>IF(C28="","",IF(C28="Not applicable","-",IF(C28="Data not available",0,IF(C28&lt;=8%,0,IF(C28&lt;=12%,1,IF(C28&lt;=15%,2,IF(C28&lt;=25%,3,IF(C28&gt;25%,4,0))))))))</f>
        <v>-</v>
      </c>
      <c r="E28" s="18" t="str">
        <f>IF(C28="","",IF(C28="Not applicable","-",4))</f>
        <v>-</v>
      </c>
      <c r="F28" s="25"/>
      <c r="G28" s="63"/>
      <c r="H28" s="138" t="str">
        <f t="shared" si="3"/>
        <v>-</v>
      </c>
      <c r="I28" s="138" t="str">
        <f t="shared" si="3"/>
        <v>-</v>
      </c>
      <c r="J28" s="138">
        <v>2</v>
      </c>
      <c r="K28" s="177"/>
      <c r="L28" s="74"/>
      <c r="M28" s="74"/>
      <c r="N28" s="74"/>
      <c r="O28" s="74"/>
      <c r="P28" s="74"/>
      <c r="Q28" s="74"/>
      <c r="R28" s="74"/>
      <c r="S28" s="74"/>
      <c r="T28" s="74"/>
      <c r="U28" s="74"/>
      <c r="V28" s="74"/>
      <c r="W28" s="74"/>
      <c r="X28" s="74"/>
      <c r="Y28" s="74"/>
      <c r="Z28" s="74"/>
      <c r="AA28" s="74"/>
      <c r="AB28" s="74"/>
      <c r="AC28" s="74"/>
      <c r="AD28" s="74"/>
      <c r="AE28" s="74"/>
      <c r="AF28" s="74"/>
      <c r="AG28" s="74"/>
      <c r="AH28" s="74"/>
      <c r="AI28" s="74"/>
      <c r="AJ28" s="74"/>
      <c r="AK28" s="74"/>
      <c r="AL28" s="74"/>
      <c r="AM28" s="74"/>
      <c r="AN28" s="74"/>
      <c r="AO28" s="74"/>
      <c r="AP28" s="74"/>
      <c r="AQ28" s="74"/>
      <c r="AR28" s="74"/>
      <c r="AS28" s="74"/>
      <c r="AT28" s="74"/>
      <c r="AU28" s="74"/>
      <c r="AV28" s="74"/>
      <c r="AW28" s="74"/>
      <c r="AX28" s="74"/>
      <c r="AY28" s="74"/>
      <c r="AZ28" s="74"/>
      <c r="BA28" s="74"/>
      <c r="BB28" s="74"/>
      <c r="BC28" s="74"/>
      <c r="BD28" s="74"/>
      <c r="BE28" s="74"/>
      <c r="BF28" s="74"/>
      <c r="BG28" s="74"/>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4"/>
      <c r="CX28" s="74"/>
      <c r="CY28" s="74"/>
      <c r="CZ28" s="74"/>
      <c r="DA28" s="74"/>
      <c r="DB28" s="74"/>
      <c r="DC28" s="74"/>
      <c r="DD28" s="74"/>
      <c r="DE28" s="74"/>
      <c r="DF28" s="74"/>
      <c r="DG28" s="74"/>
      <c r="DH28" s="74"/>
      <c r="DI28" s="74"/>
      <c r="DJ28" s="74"/>
      <c r="DK28" s="74"/>
      <c r="DL28" s="74"/>
      <c r="DM28" s="74"/>
      <c r="DN28" s="74"/>
      <c r="DO28" s="74"/>
      <c r="DP28" s="74"/>
      <c r="DQ28" s="74"/>
      <c r="DR28" s="74"/>
      <c r="DS28" s="74"/>
      <c r="DT28" s="74"/>
      <c r="DU28" s="74"/>
      <c r="DV28" s="74"/>
      <c r="DW28" s="74"/>
      <c r="DX28" s="74"/>
      <c r="DY28" s="74"/>
      <c r="DZ28" s="74"/>
      <c r="EA28" s="74"/>
      <c r="EB28" s="74"/>
      <c r="EC28" s="74"/>
      <c r="ED28" s="74"/>
      <c r="EE28" s="74"/>
      <c r="EF28" s="74"/>
      <c r="EG28" s="74"/>
      <c r="EH28" s="74"/>
      <c r="EI28" s="74"/>
      <c r="EJ28" s="74"/>
      <c r="EK28" s="74"/>
      <c r="EL28" s="74"/>
      <c r="EM28" s="74"/>
      <c r="EN28" s="74"/>
      <c r="EO28" s="74"/>
      <c r="EP28" s="74"/>
      <c r="EQ28" s="74"/>
      <c r="ER28" s="74"/>
      <c r="ES28" s="74"/>
      <c r="ET28" s="74"/>
      <c r="EU28" s="74"/>
      <c r="EV28" s="74"/>
      <c r="EW28" s="74"/>
      <c r="EX28" s="74"/>
      <c r="EY28" s="74"/>
    </row>
    <row r="29" spans="1:155" ht="12" x14ac:dyDescent="0.2">
      <c r="A29" s="75"/>
      <c r="B29" s="81" t="s">
        <v>99</v>
      </c>
      <c r="C29" s="133"/>
      <c r="D29" s="134" t="str">
        <f>IFERROR(AVERAGE(D26:D28),"-")</f>
        <v>-</v>
      </c>
      <c r="E29" s="135" t="str">
        <f>IFERROR(AVERAGE(E26:E28),"-")</f>
        <v>-</v>
      </c>
      <c r="F29" s="136"/>
      <c r="G29" s="63"/>
      <c r="H29" s="180">
        <f>IFERROR(AVERAGE(H26:H28),0)</f>
        <v>0</v>
      </c>
      <c r="I29" s="179">
        <f>IFERROR(AVERAGE(I26:I28),0)</f>
        <v>0</v>
      </c>
      <c r="J29" s="138">
        <v>3</v>
      </c>
      <c r="K29" s="177"/>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4"/>
      <c r="DB29" s="74"/>
      <c r="DC29" s="74"/>
      <c r="DD29" s="74"/>
      <c r="DE29" s="74"/>
      <c r="DF29" s="74"/>
      <c r="DG29" s="74"/>
      <c r="DH29" s="74"/>
      <c r="DI29" s="74"/>
      <c r="DJ29" s="74"/>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row>
    <row r="30" spans="1:155" x14ac:dyDescent="0.2">
      <c r="A30" s="75" t="s">
        <v>27</v>
      </c>
      <c r="B30" s="76" t="s">
        <v>28</v>
      </c>
      <c r="C30" s="437" t="str">
        <f>IF('Cover page'!O11="","Not applicable",IF('Ratio Analysis'!G13="","Data not available",'Ratio Analysis'!G13))</f>
        <v>Not applicable</v>
      </c>
      <c r="D30" s="17" t="str">
        <f>IF(C30="","",IF(C30="Not applicable","-",IF(C30="Data not available",0,IF(C30&lt;1,0,IF(C30&lt;=1.2,1,IF(C30&lt;=1.4,2,IF(C30&lt;=1.6,3,IF(C30&gt;1.6,4,0))))))))</f>
        <v>-</v>
      </c>
      <c r="E30" s="18" t="str">
        <f>IF(C30="","",IF(C30="Not applicable","-",4))</f>
        <v>-</v>
      </c>
      <c r="F30" s="25"/>
      <c r="G30" s="63"/>
      <c r="H30" s="138">
        <f t="shared" ref="H30:I30" si="4">IF(D30="-",0,D30)</f>
        <v>0</v>
      </c>
      <c r="I30" s="138">
        <f t="shared" si="4"/>
        <v>0</v>
      </c>
      <c r="J30" s="138">
        <v>4</v>
      </c>
      <c r="K30" s="177"/>
      <c r="L30" s="74"/>
      <c r="M30" s="74"/>
      <c r="N30" s="74"/>
      <c r="O30" s="74"/>
      <c r="P30" s="74"/>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c r="EA30" s="74"/>
      <c r="EB30" s="74"/>
      <c r="EC30" s="74"/>
      <c r="ED30" s="74"/>
      <c r="EE30" s="74"/>
      <c r="EF30" s="74"/>
      <c r="EG30" s="74"/>
      <c r="EH30" s="74"/>
      <c r="EI30" s="74"/>
      <c r="EJ30" s="74"/>
      <c r="EK30" s="74"/>
      <c r="EL30" s="74"/>
      <c r="EM30" s="74"/>
      <c r="EN30" s="74"/>
      <c r="EO30" s="74"/>
      <c r="EP30" s="74"/>
      <c r="EQ30" s="74"/>
      <c r="ER30" s="74"/>
      <c r="ES30" s="74"/>
      <c r="ET30" s="74"/>
      <c r="EU30" s="74"/>
      <c r="EV30" s="74"/>
      <c r="EW30" s="74"/>
      <c r="EX30" s="74"/>
      <c r="EY30" s="74"/>
    </row>
    <row r="31" spans="1:155" ht="12.6" thickBot="1" x14ac:dyDescent="0.25">
      <c r="A31" s="77"/>
      <c r="B31" s="78" t="s">
        <v>29</v>
      </c>
      <c r="C31" s="27"/>
      <c r="D31" s="20">
        <f>IF(AND(D24="Not applicable",C26="Not applicable",C27="Not applicable",C28="Not applicable",C30="Not applicable"),"-",H31)</f>
        <v>4</v>
      </c>
      <c r="E31" s="20">
        <f>IF(I31=0,"-",I31)</f>
        <v>4</v>
      </c>
      <c r="F31" s="21"/>
      <c r="G31" s="63"/>
      <c r="H31" s="138">
        <f>IFERROR(H24+H29+H30,"-")</f>
        <v>4</v>
      </c>
      <c r="I31" s="138">
        <f>IFERROR(I24+I29+I30,"-")</f>
        <v>4</v>
      </c>
      <c r="J31" s="138"/>
      <c r="K31" s="177"/>
      <c r="L31" s="74"/>
      <c r="M31" s="74"/>
      <c r="N31" s="74"/>
      <c r="O31" s="74"/>
      <c r="P31" s="74"/>
      <c r="Q31" s="74"/>
      <c r="R31" s="74"/>
      <c r="S31" s="74"/>
      <c r="T31" s="74"/>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c r="DK31" s="74"/>
      <c r="DL31" s="74"/>
      <c r="DM31" s="74"/>
      <c r="DN31" s="74"/>
      <c r="DO31" s="74"/>
      <c r="DP31" s="74"/>
      <c r="DQ31" s="74"/>
      <c r="DR31" s="74"/>
      <c r="DS31" s="74"/>
      <c r="DT31" s="74"/>
      <c r="DU31" s="74"/>
      <c r="DV31" s="74"/>
      <c r="DW31" s="74"/>
      <c r="DX31" s="74"/>
      <c r="DY31" s="74"/>
      <c r="DZ31" s="74"/>
      <c r="EA31" s="74"/>
      <c r="EB31" s="74"/>
      <c r="EC31" s="74"/>
      <c r="ED31" s="74"/>
      <c r="EE31" s="74"/>
      <c r="EF31" s="74"/>
      <c r="EG31" s="74"/>
      <c r="EH31" s="74"/>
      <c r="EI31" s="74"/>
      <c r="EJ31" s="74"/>
      <c r="EK31" s="74"/>
      <c r="EL31" s="74"/>
      <c r="EM31" s="74"/>
      <c r="EN31" s="74"/>
      <c r="EO31" s="74"/>
      <c r="EP31" s="74"/>
      <c r="EQ31" s="74"/>
      <c r="ER31" s="74"/>
      <c r="ES31" s="74"/>
      <c r="ET31" s="74"/>
      <c r="EU31" s="74"/>
      <c r="EV31" s="74"/>
      <c r="EW31" s="74"/>
      <c r="EX31" s="74"/>
      <c r="EY31" s="74"/>
    </row>
    <row r="32" spans="1:155" ht="16.5" customHeight="1" x14ac:dyDescent="0.2">
      <c r="A32" s="70">
        <v>3</v>
      </c>
      <c r="B32" s="79" t="s">
        <v>98</v>
      </c>
      <c r="C32" s="22"/>
      <c r="D32" s="22"/>
      <c r="E32" s="22"/>
      <c r="F32" s="23"/>
      <c r="G32" s="146"/>
      <c r="H32" s="181"/>
      <c r="I32" s="139"/>
      <c r="J32" s="138"/>
      <c r="K32" s="177"/>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c r="DK32" s="74"/>
      <c r="DL32" s="74"/>
      <c r="DM32" s="74"/>
      <c r="DN32" s="74"/>
      <c r="DO32" s="74"/>
      <c r="DP32" s="74"/>
      <c r="DQ32" s="74"/>
      <c r="DR32" s="74"/>
      <c r="DS32" s="74"/>
      <c r="DT32" s="74"/>
      <c r="DU32" s="74"/>
      <c r="DV32" s="74"/>
      <c r="DW32" s="74"/>
      <c r="DX32" s="74"/>
      <c r="DY32" s="74"/>
      <c r="DZ32" s="74"/>
      <c r="EA32" s="74"/>
      <c r="EB32" s="74"/>
      <c r="EC32" s="74"/>
      <c r="ED32" s="74"/>
      <c r="EE32" s="74"/>
      <c r="EF32" s="74"/>
      <c r="EG32" s="74"/>
      <c r="EH32" s="74"/>
      <c r="EI32" s="74"/>
      <c r="EJ32" s="74"/>
      <c r="EK32" s="74"/>
      <c r="EL32" s="74"/>
      <c r="EM32" s="74"/>
      <c r="EN32" s="74"/>
      <c r="EO32" s="74"/>
      <c r="EP32" s="74"/>
      <c r="EQ32" s="74"/>
      <c r="ER32" s="74"/>
      <c r="ES32" s="74"/>
      <c r="ET32" s="74"/>
      <c r="EU32" s="74"/>
      <c r="EV32" s="74"/>
      <c r="EW32" s="74"/>
      <c r="EX32" s="74"/>
      <c r="EY32" s="74"/>
    </row>
    <row r="33" spans="1:155" x14ac:dyDescent="0.2">
      <c r="A33" s="75" t="s">
        <v>14</v>
      </c>
      <c r="B33" s="76" t="s">
        <v>30</v>
      </c>
      <c r="C33" s="80"/>
      <c r="D33" s="130">
        <v>2</v>
      </c>
      <c r="E33" s="18">
        <f>IF(D33="","",IF(D33="Not applicable","-",4))</f>
        <v>4</v>
      </c>
      <c r="F33" s="25"/>
      <c r="G33" s="63"/>
      <c r="H33" s="138"/>
      <c r="I33" s="139"/>
      <c r="J33" s="138"/>
      <c r="K33" s="177"/>
      <c r="L33" s="74"/>
      <c r="M33" s="74"/>
      <c r="N33" s="74"/>
      <c r="O33" s="74"/>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c r="DK33" s="74"/>
      <c r="DL33" s="74"/>
      <c r="DM33" s="74"/>
      <c r="DN33" s="74"/>
      <c r="DO33" s="74"/>
      <c r="DP33" s="74"/>
      <c r="DQ33" s="74"/>
      <c r="DR33" s="74"/>
      <c r="DS33" s="74"/>
      <c r="DT33" s="74"/>
      <c r="DU33" s="74"/>
      <c r="DV33" s="74"/>
      <c r="DW33" s="74"/>
      <c r="DX33" s="74"/>
      <c r="DY33" s="74"/>
      <c r="DZ33" s="74"/>
      <c r="EA33" s="74"/>
      <c r="EB33" s="74"/>
      <c r="EC33" s="74"/>
      <c r="ED33" s="74"/>
      <c r="EE33" s="74"/>
      <c r="EF33" s="74"/>
      <c r="EG33" s="74"/>
      <c r="EH33" s="74"/>
      <c r="EI33" s="74"/>
      <c r="EJ33" s="74"/>
      <c r="EK33" s="74"/>
      <c r="EL33" s="74"/>
      <c r="EM33" s="74"/>
      <c r="EN33" s="74"/>
      <c r="EO33" s="74"/>
      <c r="EP33" s="74"/>
      <c r="EQ33" s="74"/>
      <c r="ER33" s="74"/>
      <c r="ES33" s="74"/>
      <c r="ET33" s="74"/>
      <c r="EU33" s="74"/>
      <c r="EV33" s="74"/>
      <c r="EW33" s="74"/>
      <c r="EX33" s="74"/>
      <c r="EY33" s="74"/>
    </row>
    <row r="34" spans="1:155" x14ac:dyDescent="0.2">
      <c r="A34" s="75" t="s">
        <v>13</v>
      </c>
      <c r="B34" s="76" t="s">
        <v>31</v>
      </c>
      <c r="C34" s="80"/>
      <c r="D34" s="130">
        <v>3</v>
      </c>
      <c r="E34" s="18">
        <f>IF(D34="","",IF(D34="Not applicable","-",4))</f>
        <v>4</v>
      </c>
      <c r="F34" s="25"/>
      <c r="G34" s="63"/>
      <c r="H34" s="138"/>
      <c r="I34" s="139"/>
      <c r="J34" s="138"/>
      <c r="K34" s="177"/>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c r="DK34" s="74"/>
      <c r="DL34" s="74"/>
      <c r="DM34" s="74"/>
      <c r="DN34" s="74"/>
      <c r="DO34" s="74"/>
      <c r="DP34" s="74"/>
      <c r="DQ34" s="74"/>
      <c r="DR34" s="74"/>
      <c r="DS34" s="74"/>
      <c r="DT34" s="74"/>
      <c r="DU34" s="74"/>
      <c r="DV34" s="74"/>
      <c r="DW34" s="74"/>
      <c r="DX34" s="74"/>
      <c r="DY34" s="74"/>
      <c r="DZ34" s="74"/>
      <c r="EA34" s="74"/>
      <c r="EB34" s="74"/>
      <c r="EC34" s="74"/>
      <c r="ED34" s="74"/>
      <c r="EE34" s="74"/>
      <c r="EF34" s="74"/>
      <c r="EG34" s="74"/>
      <c r="EH34" s="74"/>
      <c r="EI34" s="74"/>
      <c r="EJ34" s="74"/>
      <c r="EK34" s="74"/>
      <c r="EL34" s="74"/>
      <c r="EM34" s="74"/>
      <c r="EN34" s="74"/>
      <c r="EO34" s="74"/>
      <c r="EP34" s="74"/>
      <c r="EQ34" s="74"/>
      <c r="ER34" s="74"/>
      <c r="ES34" s="74"/>
      <c r="ET34" s="74"/>
      <c r="EU34" s="74"/>
      <c r="EV34" s="74"/>
      <c r="EW34" s="74"/>
      <c r="EX34" s="74"/>
      <c r="EY34" s="74"/>
    </row>
    <row r="35" spans="1:155" x14ac:dyDescent="0.2">
      <c r="A35" s="75" t="s">
        <v>27</v>
      </c>
      <c r="B35" s="76" t="s">
        <v>32</v>
      </c>
      <c r="C35" s="80"/>
      <c r="D35" s="130">
        <v>4</v>
      </c>
      <c r="E35" s="18">
        <f>IF(D35="","",IF(D35="Not applicable","-",4))</f>
        <v>4</v>
      </c>
      <c r="F35" s="25"/>
      <c r="G35" s="63"/>
      <c r="H35" s="138"/>
      <c r="I35" s="139"/>
      <c r="J35" s="138"/>
      <c r="K35" s="177"/>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c r="DK35" s="74"/>
      <c r="DL35" s="74"/>
      <c r="DM35" s="74"/>
      <c r="DN35" s="74"/>
      <c r="DO35" s="74"/>
      <c r="DP35" s="74"/>
      <c r="DQ35" s="74"/>
      <c r="DR35" s="74"/>
      <c r="DS35" s="74"/>
      <c r="DT35" s="74"/>
      <c r="DU35" s="74"/>
      <c r="DV35" s="74"/>
      <c r="DW35" s="74"/>
      <c r="DX35" s="74"/>
      <c r="DY35" s="74"/>
      <c r="DZ35" s="74"/>
      <c r="EA35" s="74"/>
      <c r="EB35" s="74"/>
      <c r="EC35" s="74"/>
      <c r="ED35" s="74"/>
      <c r="EE35" s="74"/>
      <c r="EF35" s="74"/>
      <c r="EG35" s="74"/>
      <c r="EH35" s="74"/>
      <c r="EI35" s="74"/>
      <c r="EJ35" s="74"/>
      <c r="EK35" s="74"/>
      <c r="EL35" s="74"/>
      <c r="EM35" s="74"/>
      <c r="EN35" s="74"/>
      <c r="EO35" s="74"/>
      <c r="EP35" s="74"/>
      <c r="EQ35" s="74"/>
      <c r="ER35" s="74"/>
      <c r="ES35" s="74"/>
      <c r="ET35" s="74"/>
      <c r="EU35" s="74"/>
      <c r="EV35" s="74"/>
      <c r="EW35" s="74"/>
      <c r="EX35" s="74"/>
      <c r="EY35" s="74"/>
    </row>
    <row r="36" spans="1:155" x14ac:dyDescent="0.2">
      <c r="A36" s="75" t="s">
        <v>12</v>
      </c>
      <c r="B36" s="76" t="s">
        <v>97</v>
      </c>
      <c r="C36" s="80"/>
      <c r="D36" s="130">
        <v>3</v>
      </c>
      <c r="E36" s="18">
        <f>IF(D36="","",IF(D36="Not applicable","-",4))</f>
        <v>4</v>
      </c>
      <c r="F36" s="25"/>
      <c r="G36" s="63"/>
      <c r="H36" s="138"/>
      <c r="I36" s="139"/>
      <c r="J36" s="138"/>
      <c r="K36" s="177"/>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4"/>
      <c r="CA36" s="74"/>
      <c r="CB36" s="74"/>
      <c r="CC36" s="74"/>
      <c r="CD36" s="74"/>
      <c r="CE36" s="74"/>
      <c r="CF36" s="74"/>
      <c r="CG36" s="74"/>
      <c r="CH36" s="74"/>
      <c r="CI36" s="74"/>
      <c r="CJ36" s="74"/>
      <c r="CK36" s="74"/>
      <c r="CL36" s="74"/>
      <c r="CM36" s="74"/>
      <c r="CN36" s="74"/>
      <c r="CO36" s="74"/>
      <c r="CP36" s="74"/>
      <c r="CQ36" s="74"/>
      <c r="CR36" s="74"/>
      <c r="CS36" s="74"/>
      <c r="CT36" s="74"/>
      <c r="CU36" s="74"/>
      <c r="CV36" s="74"/>
      <c r="CW36" s="74"/>
      <c r="CX36" s="74"/>
      <c r="CY36" s="74"/>
      <c r="CZ36" s="74"/>
      <c r="DA36" s="74"/>
      <c r="DB36" s="74"/>
      <c r="DC36" s="74"/>
      <c r="DD36" s="74"/>
      <c r="DE36" s="74"/>
      <c r="DF36" s="74"/>
      <c r="DG36" s="74"/>
      <c r="DH36" s="74"/>
      <c r="DI36" s="74"/>
      <c r="DJ36" s="74"/>
      <c r="DK36" s="74"/>
      <c r="DL36" s="74"/>
      <c r="DM36" s="74"/>
      <c r="DN36" s="74"/>
      <c r="DO36" s="74"/>
      <c r="DP36" s="74"/>
      <c r="DQ36" s="74"/>
      <c r="DR36" s="74"/>
      <c r="DS36" s="74"/>
      <c r="DT36" s="74"/>
      <c r="DU36" s="74"/>
      <c r="DV36" s="74"/>
      <c r="DW36" s="74"/>
      <c r="DX36" s="74"/>
      <c r="DY36" s="74"/>
      <c r="DZ36" s="74"/>
      <c r="EA36" s="74"/>
      <c r="EB36" s="74"/>
      <c r="EC36" s="74"/>
      <c r="ED36" s="74"/>
      <c r="EE36" s="74"/>
      <c r="EF36" s="74"/>
      <c r="EG36" s="74"/>
      <c r="EH36" s="74"/>
      <c r="EI36" s="74"/>
      <c r="EJ36" s="74"/>
      <c r="EK36" s="74"/>
      <c r="EL36" s="74"/>
      <c r="EM36" s="74"/>
      <c r="EN36" s="74"/>
      <c r="EO36" s="74"/>
      <c r="EP36" s="74"/>
      <c r="EQ36" s="74"/>
      <c r="ER36" s="74"/>
      <c r="ES36" s="74"/>
      <c r="ET36" s="74"/>
      <c r="EU36" s="74"/>
      <c r="EV36" s="74"/>
      <c r="EW36" s="74"/>
      <c r="EX36" s="74"/>
      <c r="EY36" s="74"/>
    </row>
    <row r="37" spans="1:155" ht="12.6" thickBot="1" x14ac:dyDescent="0.25">
      <c r="A37" s="77"/>
      <c r="B37" s="78" t="s">
        <v>39</v>
      </c>
      <c r="C37" s="27"/>
      <c r="D37" s="140">
        <f>IF(SUM(D33:D36)=0,"-",SUM(D33:D36))</f>
        <v>12</v>
      </c>
      <c r="E37" s="140">
        <f>IF(SUM(E33:E36)=0,"-",SUM(E33:E36))</f>
        <v>16</v>
      </c>
      <c r="F37" s="149"/>
      <c r="G37" s="63"/>
      <c r="H37" s="138">
        <f t="shared" ref="H37:I37" si="5">IF(D37="-",0,D37)</f>
        <v>12</v>
      </c>
      <c r="I37" s="138">
        <f t="shared" si="5"/>
        <v>16</v>
      </c>
      <c r="J37" s="138"/>
      <c r="K37" s="177"/>
      <c r="L37" s="74"/>
      <c r="M37" s="74"/>
      <c r="N37" s="74"/>
      <c r="O37" s="74"/>
      <c r="P37" s="74"/>
      <c r="Q37" s="74"/>
      <c r="R37" s="74"/>
      <c r="S37" s="74"/>
      <c r="T37" s="74"/>
      <c r="U37" s="74"/>
      <c r="V37" s="74"/>
      <c r="W37" s="74"/>
      <c r="X37" s="74"/>
      <c r="Y37" s="74"/>
      <c r="Z37" s="74"/>
      <c r="AA37" s="74"/>
      <c r="AB37" s="74"/>
      <c r="AC37" s="74"/>
      <c r="AD37" s="74"/>
      <c r="AE37" s="74"/>
      <c r="AF37" s="74"/>
      <c r="AG37" s="74"/>
      <c r="AH37" s="74"/>
      <c r="AI37" s="74"/>
      <c r="AJ37" s="74"/>
      <c r="AK37" s="74"/>
      <c r="AL37" s="74"/>
      <c r="AM37" s="74"/>
      <c r="AN37" s="74"/>
      <c r="AO37" s="74"/>
      <c r="AP37" s="74"/>
      <c r="AQ37" s="74"/>
      <c r="AR37" s="74"/>
      <c r="AS37" s="74"/>
      <c r="AT37" s="74"/>
      <c r="AU37" s="74"/>
      <c r="AV37" s="74"/>
      <c r="AW37" s="74"/>
      <c r="AX37" s="74"/>
      <c r="AY37" s="74"/>
      <c r="AZ37" s="74"/>
      <c r="BA37" s="74"/>
      <c r="BB37" s="74"/>
      <c r="BC37" s="74"/>
      <c r="BD37" s="74"/>
      <c r="BE37" s="74"/>
      <c r="BF37" s="74"/>
      <c r="BG37" s="74"/>
      <c r="BH37" s="74"/>
      <c r="BI37" s="74"/>
      <c r="BJ37" s="74"/>
      <c r="BK37" s="74"/>
      <c r="BL37" s="74"/>
      <c r="BM37" s="74"/>
      <c r="BN37" s="74"/>
      <c r="BO37" s="74"/>
      <c r="BP37" s="74"/>
      <c r="BQ37" s="74"/>
      <c r="BR37" s="74"/>
      <c r="BS37" s="74"/>
      <c r="BT37" s="74"/>
      <c r="BU37" s="74"/>
      <c r="BV37" s="74"/>
      <c r="BW37" s="74"/>
      <c r="BX37" s="74"/>
      <c r="BY37" s="74"/>
      <c r="BZ37" s="74"/>
      <c r="CA37" s="74"/>
      <c r="CB37" s="74"/>
      <c r="CC37" s="74"/>
      <c r="CD37" s="74"/>
      <c r="CE37" s="74"/>
      <c r="CF37" s="74"/>
      <c r="CG37" s="74"/>
      <c r="CH37" s="74"/>
      <c r="CI37" s="74"/>
      <c r="CJ37" s="74"/>
      <c r="CK37" s="74"/>
      <c r="CL37" s="74"/>
      <c r="CM37" s="74"/>
      <c r="CN37" s="74"/>
      <c r="CO37" s="74"/>
      <c r="CP37" s="74"/>
      <c r="CQ37" s="74"/>
      <c r="CR37" s="74"/>
      <c r="CS37" s="74"/>
      <c r="CT37" s="74"/>
      <c r="CU37" s="74"/>
      <c r="CV37" s="74"/>
      <c r="CW37" s="74"/>
      <c r="CX37" s="74"/>
      <c r="CY37" s="74"/>
      <c r="CZ37" s="74"/>
      <c r="DA37" s="74"/>
      <c r="DB37" s="74"/>
      <c r="DC37" s="74"/>
      <c r="DD37" s="74"/>
      <c r="DE37" s="74"/>
      <c r="DF37" s="74"/>
      <c r="DG37" s="74"/>
      <c r="DH37" s="74"/>
      <c r="DI37" s="74"/>
      <c r="DJ37" s="74"/>
      <c r="DK37" s="74"/>
      <c r="DL37" s="74"/>
      <c r="DM37" s="74"/>
      <c r="DN37" s="74"/>
      <c r="DO37" s="74"/>
      <c r="DP37" s="74"/>
      <c r="DQ37" s="74"/>
      <c r="DR37" s="74"/>
      <c r="DS37" s="74"/>
      <c r="DT37" s="74"/>
      <c r="DU37" s="74"/>
      <c r="DV37" s="74"/>
      <c r="DW37" s="74"/>
      <c r="DX37" s="74"/>
      <c r="DY37" s="74"/>
      <c r="DZ37" s="74"/>
      <c r="EA37" s="74"/>
      <c r="EB37" s="74"/>
      <c r="EC37" s="74"/>
      <c r="ED37" s="74"/>
      <c r="EE37" s="74"/>
      <c r="EF37" s="74"/>
      <c r="EG37" s="74"/>
      <c r="EH37" s="74"/>
      <c r="EI37" s="74"/>
      <c r="EJ37" s="74"/>
      <c r="EK37" s="74"/>
      <c r="EL37" s="74"/>
      <c r="EM37" s="74"/>
      <c r="EN37" s="74"/>
      <c r="EO37" s="74"/>
      <c r="EP37" s="74"/>
      <c r="EQ37" s="74"/>
      <c r="ER37" s="74"/>
      <c r="ES37" s="74"/>
      <c r="ET37" s="74"/>
      <c r="EU37" s="74"/>
      <c r="EV37" s="74"/>
      <c r="EW37" s="74"/>
      <c r="EX37" s="74"/>
      <c r="EY37" s="74"/>
    </row>
    <row r="38" spans="1:155" ht="16.5" customHeight="1" x14ac:dyDescent="0.2">
      <c r="A38" s="70">
        <v>4</v>
      </c>
      <c r="B38" s="79" t="s">
        <v>33</v>
      </c>
      <c r="C38" s="22"/>
      <c r="D38" s="22"/>
      <c r="E38" s="22"/>
      <c r="F38" s="23"/>
      <c r="G38" s="146"/>
      <c r="H38" s="144"/>
      <c r="I38" s="139"/>
      <c r="J38" s="138"/>
      <c r="K38" s="177"/>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c r="DK38" s="74"/>
      <c r="DL38" s="74"/>
      <c r="DM38" s="74"/>
      <c r="DN38" s="74"/>
      <c r="DO38" s="74"/>
      <c r="DP38" s="74"/>
      <c r="DQ38" s="74"/>
      <c r="DR38" s="74"/>
      <c r="DS38" s="74"/>
      <c r="DT38" s="74"/>
      <c r="DU38" s="74"/>
      <c r="DV38" s="74"/>
      <c r="DW38" s="74"/>
      <c r="DX38" s="74"/>
      <c r="DY38" s="74"/>
      <c r="DZ38" s="74"/>
      <c r="EA38" s="74"/>
      <c r="EB38" s="74"/>
      <c r="EC38" s="74"/>
      <c r="ED38" s="74"/>
      <c r="EE38" s="74"/>
      <c r="EF38" s="74"/>
      <c r="EG38" s="74"/>
      <c r="EH38" s="74"/>
      <c r="EI38" s="74"/>
      <c r="EJ38" s="74"/>
      <c r="EK38" s="74"/>
      <c r="EL38" s="74"/>
      <c r="EM38" s="74"/>
      <c r="EN38" s="74"/>
      <c r="EO38" s="74"/>
      <c r="EP38" s="74"/>
      <c r="EQ38" s="74"/>
      <c r="ER38" s="74"/>
      <c r="ES38" s="74"/>
      <c r="ET38" s="74"/>
      <c r="EU38" s="74"/>
      <c r="EV38" s="74"/>
      <c r="EW38" s="74"/>
      <c r="EX38" s="74"/>
      <c r="EY38" s="74"/>
    </row>
    <row r="39" spans="1:155" x14ac:dyDescent="0.2">
      <c r="A39" s="75" t="s">
        <v>14</v>
      </c>
      <c r="B39" s="76" t="s">
        <v>34</v>
      </c>
      <c r="C39" s="438">
        <f>IF(COUNTA('Ratio Analysis'!D35:F35)&lt;2,"Data not available",AVERAGE('Ratio Analysis'!D35:F35))</f>
        <v>1.402373100086034</v>
      </c>
      <c r="D39" s="24">
        <f>IF(C39="","",IF(C39="Not applicable","-",IF(C39="Data not available",0,IF(C39&lt;=0%,0,IF(C39&lt;=7%,1,IF(C39&lt;=14%,2,IF(C39&lt;=20%,3,IF(C39&gt;20%,4,0))))))))</f>
        <v>4</v>
      </c>
      <c r="E39" s="18">
        <f t="shared" ref="E39:E43" si="6">IF(C39="","",IF(C39="Not applicable","-",4))</f>
        <v>4</v>
      </c>
      <c r="F39" s="25"/>
      <c r="G39" s="63"/>
      <c r="H39" s="138">
        <f t="shared" ref="H39:H43" si="7">D39</f>
        <v>4</v>
      </c>
      <c r="I39" s="139"/>
      <c r="J39" s="138"/>
      <c r="K39" s="177"/>
      <c r="L39" s="74"/>
      <c r="M39" s="74"/>
      <c r="N39" s="74"/>
      <c r="O39" s="74"/>
      <c r="P39" s="74"/>
      <c r="Q39" s="74"/>
      <c r="R39" s="74"/>
      <c r="S39" s="74"/>
      <c r="T39" s="74"/>
      <c r="U39" s="74"/>
      <c r="V39" s="74"/>
      <c r="W39" s="74"/>
      <c r="X39" s="74"/>
      <c r="Y39" s="74"/>
      <c r="Z39" s="74"/>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4"/>
      <c r="BO39" s="74"/>
      <c r="BP39" s="74"/>
      <c r="BQ39" s="74"/>
      <c r="BR39" s="74"/>
      <c r="BS39" s="74"/>
      <c r="BT39" s="74"/>
      <c r="BU39" s="74"/>
      <c r="BV39" s="74"/>
      <c r="BW39" s="74"/>
      <c r="BX39" s="74"/>
      <c r="BY39" s="74"/>
      <c r="BZ39" s="74"/>
      <c r="CA39" s="74"/>
      <c r="CB39" s="74"/>
      <c r="CC39" s="74"/>
      <c r="CD39" s="74"/>
      <c r="CE39" s="74"/>
      <c r="CF39" s="74"/>
      <c r="CG39" s="74"/>
      <c r="CH39" s="74"/>
      <c r="CI39" s="74"/>
      <c r="CJ39" s="74"/>
      <c r="CK39" s="74"/>
      <c r="CL39" s="74"/>
      <c r="CM39" s="74"/>
      <c r="CN39" s="74"/>
      <c r="CO39" s="74"/>
      <c r="CP39" s="74"/>
      <c r="CQ39" s="74"/>
      <c r="CR39" s="74"/>
      <c r="CS39" s="74"/>
      <c r="CT39" s="74"/>
      <c r="CU39" s="74"/>
      <c r="CV39" s="74"/>
      <c r="CW39" s="74"/>
      <c r="CX39" s="74"/>
      <c r="CY39" s="74"/>
      <c r="CZ39" s="74"/>
      <c r="DA39" s="74"/>
      <c r="DB39" s="74"/>
      <c r="DC39" s="74"/>
      <c r="DD39" s="74"/>
      <c r="DE39" s="74"/>
      <c r="DF39" s="74"/>
      <c r="DG39" s="74"/>
      <c r="DH39" s="74"/>
      <c r="DI39" s="74"/>
      <c r="DJ39" s="74"/>
      <c r="DK39" s="74"/>
      <c r="DL39" s="74"/>
      <c r="DM39" s="74"/>
      <c r="DN39" s="74"/>
      <c r="DO39" s="74"/>
      <c r="DP39" s="74"/>
      <c r="DQ39" s="74"/>
      <c r="DR39" s="74"/>
      <c r="DS39" s="74"/>
      <c r="DT39" s="74"/>
      <c r="DU39" s="74"/>
      <c r="DV39" s="74"/>
      <c r="DW39" s="74"/>
      <c r="DX39" s="74"/>
      <c r="DY39" s="74"/>
      <c r="DZ39" s="74"/>
      <c r="EA39" s="74"/>
      <c r="EB39" s="74"/>
      <c r="EC39" s="74"/>
      <c r="ED39" s="74"/>
      <c r="EE39" s="74"/>
      <c r="EF39" s="74"/>
      <c r="EG39" s="74"/>
      <c r="EH39" s="74"/>
      <c r="EI39" s="74"/>
      <c r="EJ39" s="74"/>
      <c r="EK39" s="74"/>
      <c r="EL39" s="74"/>
      <c r="EM39" s="74"/>
      <c r="EN39" s="74"/>
      <c r="EO39" s="74"/>
      <c r="EP39" s="74"/>
      <c r="EQ39" s="74"/>
      <c r="ER39" s="74"/>
      <c r="ES39" s="74"/>
      <c r="ET39" s="74"/>
      <c r="EU39" s="74"/>
      <c r="EV39" s="74"/>
      <c r="EW39" s="74"/>
      <c r="EX39" s="74"/>
      <c r="EY39" s="74"/>
    </row>
    <row r="40" spans="1:155" x14ac:dyDescent="0.2">
      <c r="A40" s="75" t="s">
        <v>13</v>
      </c>
      <c r="B40" s="76" t="s">
        <v>35</v>
      </c>
      <c r="C40" s="438" t="e">
        <f>IF(COUNTA('Ratio Analysis'!C37:F37)&lt;2,"Data not available",AVERAGE('Ratio Analysis'!C37:F37))</f>
        <v>#DIV/0!</v>
      </c>
      <c r="D40" s="24" t="e">
        <f>IF(C40="","",IF(C40="Not applicable","-",IF(C40="Data not available",0,IF(C40&lt;=0%,0,IF(C40&lt;=10%,1,IF(C40&lt;=20%,2,IF(C40&lt;=30%,3,IF(C40&gt;30%,4,0))))))))</f>
        <v>#DIV/0!</v>
      </c>
      <c r="E40" s="18" t="e">
        <f t="shared" si="6"/>
        <v>#DIV/0!</v>
      </c>
      <c r="F40" s="25"/>
      <c r="G40" s="63"/>
      <c r="H40" s="138" t="e">
        <f t="shared" si="7"/>
        <v>#DIV/0!</v>
      </c>
      <c r="I40" s="139"/>
      <c r="J40" s="138"/>
      <c r="K40" s="177"/>
      <c r="L40" s="74"/>
      <c r="M40" s="74"/>
      <c r="N40" s="74"/>
      <c r="O40" s="74"/>
      <c r="P40" s="74"/>
      <c r="Q40" s="74"/>
      <c r="R40" s="74"/>
      <c r="S40" s="74"/>
      <c r="T40" s="74"/>
      <c r="U40" s="74"/>
      <c r="V40" s="74"/>
      <c r="W40" s="74"/>
      <c r="X40" s="74"/>
      <c r="Y40" s="74"/>
      <c r="Z40" s="74"/>
      <c r="AA40" s="74"/>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4"/>
      <c r="AZ40" s="74"/>
      <c r="BA40" s="74"/>
      <c r="BB40" s="74"/>
      <c r="BC40" s="74"/>
      <c r="BD40" s="74"/>
      <c r="BE40" s="74"/>
      <c r="BF40" s="74"/>
      <c r="BG40" s="74"/>
      <c r="BH40" s="74"/>
      <c r="BI40" s="74"/>
      <c r="BJ40" s="74"/>
      <c r="BK40" s="74"/>
      <c r="BL40" s="74"/>
      <c r="BM40" s="74"/>
      <c r="BN40" s="74"/>
      <c r="BO40" s="74"/>
      <c r="BP40" s="74"/>
      <c r="BQ40" s="74"/>
      <c r="BR40" s="74"/>
      <c r="BS40" s="74"/>
      <c r="BT40" s="74"/>
      <c r="BU40" s="74"/>
      <c r="BV40" s="74"/>
      <c r="BW40" s="74"/>
      <c r="BX40" s="74"/>
      <c r="BY40" s="74"/>
      <c r="BZ40" s="74"/>
      <c r="CA40" s="74"/>
      <c r="CB40" s="74"/>
      <c r="CC40" s="74"/>
      <c r="CD40" s="74"/>
      <c r="CE40" s="74"/>
      <c r="CF40" s="74"/>
      <c r="CG40" s="74"/>
      <c r="CH40" s="74"/>
      <c r="CI40" s="74"/>
      <c r="CJ40" s="74"/>
      <c r="CK40" s="74"/>
      <c r="CL40" s="74"/>
      <c r="CM40" s="74"/>
      <c r="CN40" s="74"/>
      <c r="CO40" s="74"/>
      <c r="CP40" s="74"/>
      <c r="CQ40" s="74"/>
      <c r="CR40" s="74"/>
      <c r="CS40" s="74"/>
      <c r="CT40" s="74"/>
      <c r="CU40" s="74"/>
      <c r="CV40" s="74"/>
      <c r="CW40" s="74"/>
      <c r="CX40" s="74"/>
      <c r="CY40" s="74"/>
      <c r="CZ40" s="74"/>
      <c r="DA40" s="74"/>
      <c r="DB40" s="74"/>
      <c r="DC40" s="74"/>
      <c r="DD40" s="74"/>
      <c r="DE40" s="74"/>
      <c r="DF40" s="74"/>
      <c r="DG40" s="74"/>
      <c r="DH40" s="74"/>
      <c r="DI40" s="74"/>
      <c r="DJ40" s="74"/>
      <c r="DK40" s="74"/>
      <c r="DL40" s="74"/>
      <c r="DM40" s="74"/>
      <c r="DN40" s="74"/>
      <c r="DO40" s="74"/>
      <c r="DP40" s="74"/>
      <c r="DQ40" s="74"/>
      <c r="DR40" s="74"/>
      <c r="DS40" s="74"/>
      <c r="DT40" s="74"/>
      <c r="DU40" s="74"/>
      <c r="DV40" s="74"/>
      <c r="DW40" s="74"/>
      <c r="DX40" s="74"/>
      <c r="DY40" s="74"/>
      <c r="DZ40" s="74"/>
      <c r="EA40" s="74"/>
      <c r="EB40" s="74"/>
      <c r="EC40" s="74"/>
      <c r="ED40" s="74"/>
      <c r="EE40" s="74"/>
      <c r="EF40" s="74"/>
      <c r="EG40" s="74"/>
      <c r="EH40" s="74"/>
      <c r="EI40" s="74"/>
      <c r="EJ40" s="74"/>
      <c r="EK40" s="74"/>
      <c r="EL40" s="74"/>
      <c r="EM40" s="74"/>
      <c r="EN40" s="74"/>
      <c r="EO40" s="74"/>
      <c r="EP40" s="74"/>
      <c r="EQ40" s="74"/>
      <c r="ER40" s="74"/>
      <c r="ES40" s="74"/>
      <c r="ET40" s="74"/>
      <c r="EU40" s="74"/>
      <c r="EV40" s="74"/>
      <c r="EW40" s="74"/>
      <c r="EX40" s="74"/>
      <c r="EY40" s="74"/>
    </row>
    <row r="41" spans="1:155" x14ac:dyDescent="0.2">
      <c r="A41" s="75" t="s">
        <v>27</v>
      </c>
      <c r="B41" s="76" t="s">
        <v>36</v>
      </c>
      <c r="C41" s="438" t="e">
        <f>IF(COUNTA('Ratio Analysis'!D39:F39)&lt;2,"Data not available",AVERAGE('Ratio Analysis'!D39:F39))</f>
        <v>#DIV/0!</v>
      </c>
      <c r="D41" s="24" t="e">
        <f>IF(C41="","",IF(C41="Not applicable","-",IF(C41="Data not available",0,IF(C41&lt;=0%,0,IF(C41&lt;=5%,1,IF(C41&lt;=10%,2,IF(C41&lt;=15%,3,IF(C41&gt;15%,4,0))))))))</f>
        <v>#DIV/0!</v>
      </c>
      <c r="E41" s="18" t="e">
        <f t="shared" si="6"/>
        <v>#DIV/0!</v>
      </c>
      <c r="F41" s="25"/>
      <c r="G41" s="63"/>
      <c r="H41" s="138" t="e">
        <f t="shared" si="7"/>
        <v>#DIV/0!</v>
      </c>
      <c r="I41" s="139"/>
      <c r="J41" s="138"/>
      <c r="K41" s="177"/>
      <c r="L41" s="74"/>
      <c r="M41" s="74"/>
      <c r="N41" s="74"/>
      <c r="O41" s="74"/>
      <c r="P41" s="74"/>
      <c r="Q41" s="74"/>
      <c r="R41" s="74"/>
      <c r="S41" s="74"/>
      <c r="T41" s="74"/>
      <c r="U41" s="74"/>
      <c r="V41" s="74"/>
      <c r="W41" s="74"/>
      <c r="X41" s="74"/>
      <c r="Y41" s="74"/>
      <c r="Z41" s="7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X41" s="74"/>
      <c r="AY41" s="74"/>
      <c r="AZ41" s="74"/>
      <c r="BA41" s="74"/>
      <c r="BB41" s="74"/>
      <c r="BC41" s="74"/>
      <c r="BD41" s="74"/>
      <c r="BE41" s="74"/>
      <c r="BF41" s="74"/>
      <c r="BG41" s="74"/>
      <c r="BH41" s="74"/>
      <c r="BI41" s="74"/>
      <c r="BJ41" s="74"/>
      <c r="BK41" s="74"/>
      <c r="BL41" s="74"/>
      <c r="BM41" s="74"/>
      <c r="BN41" s="74"/>
      <c r="BO41" s="74"/>
      <c r="BP41" s="74"/>
      <c r="BQ41" s="74"/>
      <c r="BR41" s="74"/>
      <c r="BS41" s="74"/>
      <c r="BT41" s="74"/>
      <c r="BU41" s="74"/>
      <c r="BV41" s="74"/>
      <c r="BW41" s="74"/>
      <c r="BX41" s="74"/>
      <c r="BY41" s="74"/>
      <c r="BZ41" s="74"/>
      <c r="CA41" s="74"/>
      <c r="CB41" s="74"/>
      <c r="CC41" s="74"/>
      <c r="CD41" s="74"/>
      <c r="CE41" s="74"/>
      <c r="CF41" s="74"/>
      <c r="CG41" s="74"/>
      <c r="CH41" s="74"/>
      <c r="CI41" s="74"/>
      <c r="CJ41" s="74"/>
      <c r="CK41" s="74"/>
      <c r="CL41" s="74"/>
      <c r="CM41" s="74"/>
      <c r="CN41" s="74"/>
      <c r="CO41" s="74"/>
      <c r="CP41" s="74"/>
      <c r="CQ41" s="74"/>
      <c r="CR41" s="74"/>
      <c r="CS41" s="74"/>
      <c r="CT41" s="74"/>
      <c r="CU41" s="74"/>
      <c r="CV41" s="74"/>
      <c r="CW41" s="74"/>
      <c r="CX41" s="74"/>
      <c r="CY41" s="74"/>
      <c r="CZ41" s="74"/>
      <c r="DA41" s="74"/>
      <c r="DB41" s="74"/>
      <c r="DC41" s="74"/>
      <c r="DD41" s="74"/>
      <c r="DE41" s="74"/>
      <c r="DF41" s="74"/>
      <c r="DG41" s="74"/>
      <c r="DH41" s="74"/>
      <c r="DI41" s="74"/>
      <c r="DJ41" s="74"/>
      <c r="DK41" s="74"/>
      <c r="DL41" s="74"/>
      <c r="DM41" s="74"/>
      <c r="DN41" s="74"/>
      <c r="DO41" s="74"/>
      <c r="DP41" s="74"/>
      <c r="DQ41" s="74"/>
      <c r="DR41" s="74"/>
      <c r="DS41" s="74"/>
      <c r="DT41" s="74"/>
      <c r="DU41" s="74"/>
      <c r="DV41" s="74"/>
      <c r="DW41" s="74"/>
      <c r="DX41" s="74"/>
      <c r="DY41" s="74"/>
      <c r="DZ41" s="74"/>
      <c r="EA41" s="74"/>
      <c r="EB41" s="74"/>
      <c r="EC41" s="74"/>
      <c r="ED41" s="74"/>
      <c r="EE41" s="74"/>
      <c r="EF41" s="74"/>
      <c r="EG41" s="74"/>
      <c r="EH41" s="74"/>
      <c r="EI41" s="74"/>
      <c r="EJ41" s="74"/>
      <c r="EK41" s="74"/>
      <c r="EL41" s="74"/>
      <c r="EM41" s="74"/>
      <c r="EN41" s="74"/>
      <c r="EO41" s="74"/>
      <c r="EP41" s="74"/>
      <c r="EQ41" s="74"/>
      <c r="ER41" s="74"/>
      <c r="ES41" s="74"/>
      <c r="ET41" s="74"/>
      <c r="EU41" s="74"/>
      <c r="EV41" s="74"/>
      <c r="EW41" s="74"/>
      <c r="EX41" s="74"/>
      <c r="EY41" s="74"/>
    </row>
    <row r="42" spans="1:155" x14ac:dyDescent="0.2">
      <c r="A42" s="75" t="s">
        <v>12</v>
      </c>
      <c r="B42" s="76" t="s">
        <v>28</v>
      </c>
      <c r="C42" s="438" t="e">
        <f>IF(COUNTA('Ratio Analysis'!D40:F40)&lt;2,"Data not available",AVERAGE('Ratio Analysis'!D40:F40))</f>
        <v>#DIV/0!</v>
      </c>
      <c r="D42" s="24" t="e">
        <f>IF(C42="","",IF(C42="Not applicable","-",IF(C42="Data not available",0,IF(C42&lt;=0%,0,IF(C42&lt;=10%,1,IF(C42&lt;=20%,2,IF(C42&lt;=30%,3,IF(C42&gt;30%,4,0))))))))</f>
        <v>#DIV/0!</v>
      </c>
      <c r="E42" s="18" t="e">
        <f t="shared" si="6"/>
        <v>#DIV/0!</v>
      </c>
      <c r="F42" s="25"/>
      <c r="G42" s="63"/>
      <c r="H42" s="138" t="e">
        <f t="shared" si="7"/>
        <v>#DIV/0!</v>
      </c>
      <c r="I42" s="139"/>
      <c r="J42" s="138"/>
      <c r="K42" s="177"/>
      <c r="L42" s="74"/>
      <c r="M42" s="74"/>
      <c r="N42" s="74"/>
      <c r="O42" s="74"/>
      <c r="P42" s="74"/>
      <c r="Q42" s="74"/>
      <c r="R42" s="74"/>
      <c r="S42" s="74"/>
      <c r="T42" s="74"/>
      <c r="U42" s="74"/>
      <c r="V42" s="74"/>
      <c r="W42" s="74"/>
      <c r="X42" s="74"/>
      <c r="Y42" s="74"/>
      <c r="Z42" s="74"/>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X42" s="74"/>
      <c r="AY42" s="74"/>
      <c r="AZ42" s="74"/>
      <c r="BA42" s="74"/>
      <c r="BB42" s="74"/>
      <c r="BC42" s="74"/>
      <c r="BD42" s="74"/>
      <c r="BE42" s="74"/>
      <c r="BF42" s="74"/>
      <c r="BG42" s="74"/>
      <c r="BH42" s="74"/>
      <c r="BI42" s="74"/>
      <c r="BJ42" s="74"/>
      <c r="BK42" s="74"/>
      <c r="BL42" s="74"/>
      <c r="BM42" s="74"/>
      <c r="BN42" s="74"/>
      <c r="BO42" s="74"/>
      <c r="BP42" s="74"/>
      <c r="BQ42" s="74"/>
      <c r="BR42" s="74"/>
      <c r="BS42" s="74"/>
      <c r="BT42" s="74"/>
      <c r="BU42" s="74"/>
      <c r="BV42" s="74"/>
      <c r="BW42" s="74"/>
      <c r="BX42" s="74"/>
      <c r="BY42" s="74"/>
      <c r="BZ42" s="74"/>
      <c r="CA42" s="74"/>
      <c r="CB42" s="74"/>
      <c r="CC42" s="74"/>
      <c r="CD42" s="74"/>
      <c r="CE42" s="74"/>
      <c r="CF42" s="74"/>
      <c r="CG42" s="74"/>
      <c r="CH42" s="74"/>
      <c r="CI42" s="74"/>
      <c r="CJ42" s="74"/>
      <c r="CK42" s="74"/>
      <c r="CL42" s="74"/>
      <c r="CM42" s="74"/>
      <c r="CN42" s="74"/>
      <c r="CO42" s="74"/>
      <c r="CP42" s="74"/>
      <c r="CQ42" s="74"/>
      <c r="CR42" s="74"/>
      <c r="CS42" s="74"/>
      <c r="CT42" s="74"/>
      <c r="CU42" s="74"/>
      <c r="CV42" s="74"/>
      <c r="CW42" s="74"/>
      <c r="CX42" s="74"/>
      <c r="CY42" s="74"/>
      <c r="CZ42" s="74"/>
      <c r="DA42" s="74"/>
      <c r="DB42" s="74"/>
      <c r="DC42" s="74"/>
      <c r="DD42" s="74"/>
      <c r="DE42" s="74"/>
      <c r="DF42" s="74"/>
      <c r="DG42" s="74"/>
      <c r="DH42" s="74"/>
      <c r="DI42" s="74"/>
      <c r="DJ42" s="74"/>
      <c r="DK42" s="74"/>
      <c r="DL42" s="74"/>
      <c r="DM42" s="74"/>
      <c r="DN42" s="74"/>
      <c r="DO42" s="74"/>
      <c r="DP42" s="74"/>
      <c r="DQ42" s="74"/>
      <c r="DR42" s="74"/>
      <c r="DS42" s="74"/>
      <c r="DT42" s="74"/>
      <c r="DU42" s="74"/>
      <c r="DV42" s="74"/>
      <c r="DW42" s="74"/>
      <c r="DX42" s="74"/>
      <c r="DY42" s="74"/>
      <c r="DZ42" s="74"/>
      <c r="EA42" s="74"/>
      <c r="EB42" s="74"/>
      <c r="EC42" s="74"/>
      <c r="ED42" s="74"/>
      <c r="EE42" s="74"/>
      <c r="EF42" s="74"/>
      <c r="EG42" s="74"/>
      <c r="EH42" s="74"/>
      <c r="EI42" s="74"/>
      <c r="EJ42" s="74"/>
      <c r="EK42" s="74"/>
      <c r="EL42" s="74"/>
      <c r="EM42" s="74"/>
      <c r="EN42" s="74"/>
      <c r="EO42" s="74"/>
      <c r="EP42" s="74"/>
      <c r="EQ42" s="74"/>
      <c r="ER42" s="74"/>
      <c r="ES42" s="74"/>
      <c r="ET42" s="74"/>
      <c r="EU42" s="74"/>
      <c r="EV42" s="74"/>
      <c r="EW42" s="74"/>
      <c r="EX42" s="74"/>
      <c r="EY42" s="74"/>
    </row>
    <row r="43" spans="1:155" x14ac:dyDescent="0.2">
      <c r="A43" s="75" t="s">
        <v>37</v>
      </c>
      <c r="B43" s="76" t="s">
        <v>38</v>
      </c>
      <c r="C43" s="438" t="e">
        <f>IF(COUNTA('Ratio Analysis'!D42:F42)&lt;2,"Data not available",AVERAGE('Ratio Analysis'!D42:F42))</f>
        <v>#DIV/0!</v>
      </c>
      <c r="D43" s="24" t="e">
        <f>IF(C43="","",IF(C43="Not applicable","-",IF(C43="Data not available",0,IF(C43&lt;=0%,0,IF(C43&lt;=5%,1,IF(C43&lt;=10%,2,IF(C43&lt;=15%,3,IF(C43&gt;15%,4,0))))))))</f>
        <v>#DIV/0!</v>
      </c>
      <c r="E43" s="18" t="e">
        <f t="shared" si="6"/>
        <v>#DIV/0!</v>
      </c>
      <c r="F43" s="25"/>
      <c r="G43" s="63"/>
      <c r="H43" s="138" t="e">
        <f t="shared" si="7"/>
        <v>#DIV/0!</v>
      </c>
      <c r="I43" s="139"/>
      <c r="J43" s="138"/>
      <c r="K43" s="177"/>
      <c r="L43" s="74"/>
      <c r="M43" s="74"/>
      <c r="N43" s="74"/>
      <c r="O43" s="74"/>
      <c r="P43" s="74"/>
      <c r="Q43" s="74"/>
      <c r="R43" s="74"/>
      <c r="S43" s="74"/>
      <c r="T43" s="74"/>
      <c r="U43" s="74"/>
      <c r="V43" s="74"/>
      <c r="W43" s="74"/>
      <c r="X43" s="74"/>
      <c r="Y43" s="74"/>
      <c r="Z43" s="74"/>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X43" s="74"/>
      <c r="AY43" s="74"/>
      <c r="AZ43" s="74"/>
      <c r="BA43" s="74"/>
      <c r="BB43" s="74"/>
      <c r="BC43" s="74"/>
      <c r="BD43" s="74"/>
      <c r="BE43" s="74"/>
      <c r="BF43" s="74"/>
      <c r="BG43" s="74"/>
      <c r="BH43" s="74"/>
      <c r="BI43" s="74"/>
      <c r="BJ43" s="74"/>
      <c r="BK43" s="74"/>
      <c r="BL43" s="74"/>
      <c r="BM43" s="74"/>
      <c r="BN43" s="74"/>
      <c r="BO43" s="74"/>
      <c r="BP43" s="74"/>
      <c r="BQ43" s="74"/>
      <c r="BR43" s="74"/>
      <c r="BS43" s="74"/>
      <c r="BT43" s="74"/>
      <c r="BU43" s="74"/>
      <c r="BV43" s="74"/>
      <c r="BW43" s="74"/>
      <c r="BX43" s="74"/>
      <c r="BY43" s="74"/>
      <c r="BZ43" s="74"/>
      <c r="CA43" s="74"/>
      <c r="CB43" s="74"/>
      <c r="CC43" s="74"/>
      <c r="CD43" s="74"/>
      <c r="CE43" s="74"/>
      <c r="CF43" s="74"/>
      <c r="CG43" s="74"/>
      <c r="CH43" s="74"/>
      <c r="CI43" s="74"/>
      <c r="CJ43" s="74"/>
      <c r="CK43" s="74"/>
      <c r="CL43" s="74"/>
      <c r="CM43" s="74"/>
      <c r="CN43" s="74"/>
      <c r="CO43" s="74"/>
      <c r="CP43" s="74"/>
      <c r="CQ43" s="74"/>
      <c r="CR43" s="74"/>
      <c r="CS43" s="74"/>
      <c r="CT43" s="74"/>
      <c r="CU43" s="74"/>
      <c r="CV43" s="74"/>
      <c r="CW43" s="74"/>
      <c r="CX43" s="74"/>
      <c r="CY43" s="74"/>
      <c r="CZ43" s="74"/>
      <c r="DA43" s="74"/>
      <c r="DB43" s="74"/>
      <c r="DC43" s="74"/>
      <c r="DD43" s="74"/>
      <c r="DE43" s="74"/>
      <c r="DF43" s="74"/>
      <c r="DG43" s="74"/>
      <c r="DH43" s="74"/>
      <c r="DI43" s="74"/>
      <c r="DJ43" s="74"/>
      <c r="DK43" s="74"/>
      <c r="DL43" s="74"/>
      <c r="DM43" s="74"/>
      <c r="DN43" s="74"/>
      <c r="DO43" s="74"/>
      <c r="DP43" s="74"/>
      <c r="DQ43" s="74"/>
      <c r="DR43" s="74"/>
      <c r="DS43" s="74"/>
      <c r="DT43" s="74"/>
      <c r="DU43" s="74"/>
      <c r="DV43" s="74"/>
      <c r="DW43" s="74"/>
      <c r="DX43" s="74"/>
      <c r="DY43" s="74"/>
      <c r="DZ43" s="74"/>
      <c r="EA43" s="74"/>
      <c r="EB43" s="74"/>
      <c r="EC43" s="74"/>
      <c r="ED43" s="74"/>
      <c r="EE43" s="74"/>
      <c r="EF43" s="74"/>
      <c r="EG43" s="74"/>
      <c r="EH43" s="74"/>
      <c r="EI43" s="74"/>
      <c r="EJ43" s="74"/>
      <c r="EK43" s="74"/>
      <c r="EL43" s="74"/>
      <c r="EM43" s="74"/>
      <c r="EN43" s="74"/>
      <c r="EO43" s="74"/>
      <c r="EP43" s="74"/>
      <c r="EQ43" s="74"/>
      <c r="ER43" s="74"/>
      <c r="ES43" s="74"/>
      <c r="ET43" s="74"/>
      <c r="EU43" s="74"/>
      <c r="EV43" s="74"/>
      <c r="EW43" s="74"/>
      <c r="EX43" s="74"/>
      <c r="EY43" s="74"/>
    </row>
    <row r="44" spans="1:155" ht="12.6" thickBot="1" x14ac:dyDescent="0.25">
      <c r="A44" s="77"/>
      <c r="B44" s="78" t="s">
        <v>40</v>
      </c>
      <c r="C44" s="27"/>
      <c r="D44" s="20" t="e">
        <f>IF(AND(C39="",C40="",C41="",C42="",C43=""),"-",H44)</f>
        <v>#DIV/0!</v>
      </c>
      <c r="E44" s="140" t="e">
        <f>IF(SUM(E39:E43)=0,"-",SUM(E39:E43))</f>
        <v>#DIV/0!</v>
      </c>
      <c r="F44" s="154"/>
      <c r="G44" s="63"/>
      <c r="H44" s="138" t="str">
        <f>IFERROR(SUM(H39:H43),"-")</f>
        <v>-</v>
      </c>
      <c r="I44" s="138" t="e">
        <f>IF(E44="-",0,E44)</f>
        <v>#DIV/0!</v>
      </c>
      <c r="J44" s="138"/>
      <c r="K44" s="177"/>
      <c r="L44" s="74"/>
      <c r="M44" s="74"/>
      <c r="N44" s="74"/>
      <c r="O44" s="74"/>
      <c r="P44" s="74"/>
      <c r="Q44" s="74"/>
      <c r="R44" s="74"/>
      <c r="S44" s="74"/>
      <c r="T44" s="74"/>
      <c r="U44" s="74"/>
      <c r="V44" s="74"/>
      <c r="W44" s="74"/>
      <c r="X44" s="74"/>
      <c r="Y44" s="74"/>
      <c r="Z44" s="74"/>
      <c r="AA44" s="74"/>
      <c r="AB44" s="74"/>
      <c r="AC44" s="74"/>
      <c r="AD44" s="74"/>
      <c r="AE44" s="74"/>
      <c r="AF44" s="74"/>
      <c r="AG44" s="74"/>
      <c r="AH44" s="74"/>
      <c r="AI44" s="74"/>
      <c r="AJ44" s="74"/>
      <c r="AK44" s="74"/>
      <c r="AL44" s="74"/>
      <c r="AM44" s="74"/>
      <c r="AN44" s="74"/>
      <c r="AO44" s="74"/>
      <c r="AP44" s="74"/>
      <c r="AQ44" s="74"/>
      <c r="AR44" s="74"/>
      <c r="AS44" s="74"/>
      <c r="AT44" s="74"/>
      <c r="AU44" s="74"/>
      <c r="AV44" s="74"/>
      <c r="AW44" s="74"/>
      <c r="AX44" s="74"/>
      <c r="AY44" s="74"/>
      <c r="AZ44" s="74"/>
      <c r="BA44" s="74"/>
      <c r="BB44" s="74"/>
      <c r="BC44" s="74"/>
      <c r="BD44" s="74"/>
      <c r="BE44" s="74"/>
      <c r="BF44" s="74"/>
      <c r="BG44" s="74"/>
      <c r="BH44" s="74"/>
      <c r="BI44" s="74"/>
      <c r="BJ44" s="74"/>
      <c r="BK44" s="74"/>
      <c r="BL44" s="74"/>
      <c r="BM44" s="74"/>
      <c r="BN44" s="74"/>
      <c r="BO44" s="74"/>
      <c r="BP44" s="74"/>
      <c r="BQ44" s="74"/>
      <c r="BR44" s="74"/>
      <c r="BS44" s="74"/>
      <c r="BT44" s="74"/>
      <c r="BU44" s="74"/>
      <c r="BV44" s="74"/>
      <c r="BW44" s="74"/>
      <c r="BX44" s="74"/>
      <c r="BY44" s="74"/>
      <c r="BZ44" s="74"/>
      <c r="CA44" s="74"/>
      <c r="CB44" s="74"/>
      <c r="CC44" s="74"/>
      <c r="CD44" s="74"/>
      <c r="CE44" s="74"/>
      <c r="CF44" s="74"/>
      <c r="CG44" s="74"/>
      <c r="CH44" s="74"/>
      <c r="CI44" s="74"/>
      <c r="CJ44" s="74"/>
      <c r="CK44" s="74"/>
      <c r="CL44" s="74"/>
      <c r="CM44" s="74"/>
      <c r="CN44" s="74"/>
      <c r="CO44" s="74"/>
      <c r="CP44" s="74"/>
      <c r="CQ44" s="74"/>
      <c r="CR44" s="74"/>
      <c r="CS44" s="74"/>
      <c r="CT44" s="74"/>
      <c r="CU44" s="74"/>
      <c r="CV44" s="74"/>
      <c r="CW44" s="74"/>
      <c r="CX44" s="74"/>
      <c r="CY44" s="74"/>
      <c r="CZ44" s="74"/>
      <c r="DA44" s="74"/>
      <c r="DB44" s="74"/>
      <c r="DC44" s="74"/>
      <c r="DD44" s="74"/>
      <c r="DE44" s="74"/>
      <c r="DF44" s="74"/>
      <c r="DG44" s="74"/>
      <c r="DH44" s="74"/>
      <c r="DI44" s="74"/>
      <c r="DJ44" s="74"/>
      <c r="DK44" s="74"/>
      <c r="DL44" s="74"/>
      <c r="DM44" s="74"/>
      <c r="DN44" s="74"/>
      <c r="DO44" s="74"/>
      <c r="DP44" s="74"/>
      <c r="DQ44" s="74"/>
      <c r="DR44" s="74"/>
      <c r="DS44" s="74"/>
      <c r="DT44" s="74"/>
      <c r="DU44" s="74"/>
      <c r="DV44" s="74"/>
      <c r="DW44" s="74"/>
      <c r="DX44" s="74"/>
      <c r="DY44" s="74"/>
      <c r="DZ44" s="74"/>
      <c r="EA44" s="74"/>
      <c r="EB44" s="74"/>
      <c r="EC44" s="74"/>
      <c r="ED44" s="74"/>
      <c r="EE44" s="74"/>
      <c r="EF44" s="74"/>
      <c r="EG44" s="74"/>
      <c r="EH44" s="74"/>
      <c r="EI44" s="74"/>
      <c r="EJ44" s="74"/>
      <c r="EK44" s="74"/>
      <c r="EL44" s="74"/>
      <c r="EM44" s="74"/>
      <c r="EN44" s="74"/>
      <c r="EO44" s="74"/>
      <c r="EP44" s="74"/>
      <c r="EQ44" s="74"/>
      <c r="ER44" s="74"/>
      <c r="ES44" s="74"/>
      <c r="ET44" s="74"/>
      <c r="EU44" s="74"/>
      <c r="EV44" s="74"/>
      <c r="EW44" s="74"/>
      <c r="EX44" s="74"/>
      <c r="EY44" s="74"/>
    </row>
    <row r="45" spans="1:155" ht="12.6" thickBot="1" x14ac:dyDescent="0.25">
      <c r="A45" s="82"/>
      <c r="B45" s="83" t="s">
        <v>48</v>
      </c>
      <c r="C45" s="29"/>
      <c r="D45" s="28" t="str">
        <f>IF(H45=0,"-",H45)</f>
        <v>-</v>
      </c>
      <c r="E45" s="137" t="str">
        <f>IF(I45=0,"-",I45)</f>
        <v>-</v>
      </c>
      <c r="F45" s="30"/>
      <c r="G45" s="63"/>
      <c r="H45" s="138" t="str">
        <f>IFERROR(H22+H31+H37+H44,"-")</f>
        <v>-</v>
      </c>
      <c r="I45" s="138" t="str">
        <f>IFERROR(I22+I31+I37+I44,"-")</f>
        <v>-</v>
      </c>
      <c r="J45" s="138"/>
      <c r="K45" s="177"/>
      <c r="L45" s="74"/>
      <c r="M45" s="74"/>
      <c r="N45" s="74"/>
      <c r="O45" s="74"/>
      <c r="P45" s="74"/>
      <c r="Q45" s="74"/>
      <c r="R45" s="74"/>
      <c r="S45" s="74"/>
      <c r="T45" s="74"/>
      <c r="U45" s="74"/>
      <c r="V45" s="74"/>
      <c r="W45" s="74"/>
      <c r="X45" s="74"/>
      <c r="Y45" s="74"/>
      <c r="Z45" s="74"/>
      <c r="AA45" s="74"/>
      <c r="AB45" s="74"/>
      <c r="AC45" s="74"/>
      <c r="AD45" s="74"/>
      <c r="AE45" s="74"/>
      <c r="AF45" s="74"/>
      <c r="AG45" s="74"/>
      <c r="AH45" s="74"/>
      <c r="AI45" s="74"/>
      <c r="AJ45" s="74"/>
      <c r="AK45" s="74"/>
      <c r="AL45" s="74"/>
      <c r="AM45" s="74"/>
      <c r="AN45" s="74"/>
      <c r="AO45" s="74"/>
      <c r="AP45" s="74"/>
      <c r="AQ45" s="74"/>
      <c r="AR45" s="74"/>
      <c r="AS45" s="74"/>
      <c r="AT45" s="74"/>
      <c r="AU45" s="74"/>
      <c r="AV45" s="74"/>
      <c r="AW45" s="74"/>
      <c r="AX45" s="74"/>
      <c r="AY45" s="74"/>
      <c r="AZ45" s="74"/>
      <c r="BA45" s="74"/>
      <c r="BB45" s="74"/>
      <c r="BC45" s="74"/>
      <c r="BD45" s="74"/>
      <c r="BE45" s="74"/>
      <c r="BF45" s="74"/>
      <c r="BG45" s="74"/>
      <c r="BH45" s="74"/>
      <c r="BI45" s="74"/>
      <c r="BJ45" s="74"/>
      <c r="BK45" s="74"/>
      <c r="BL45" s="74"/>
      <c r="BM45" s="74"/>
      <c r="BN45" s="74"/>
      <c r="BO45" s="74"/>
      <c r="BP45" s="74"/>
      <c r="BQ45" s="74"/>
      <c r="BR45" s="74"/>
      <c r="BS45" s="74"/>
      <c r="BT45" s="74"/>
      <c r="BU45" s="74"/>
      <c r="BV45" s="74"/>
      <c r="BW45" s="74"/>
      <c r="BX45" s="74"/>
      <c r="BY45" s="74"/>
      <c r="BZ45" s="74"/>
      <c r="CA45" s="74"/>
      <c r="CB45" s="74"/>
      <c r="CC45" s="74"/>
      <c r="CD45" s="74"/>
      <c r="CE45" s="74"/>
      <c r="CF45" s="74"/>
      <c r="CG45" s="74"/>
      <c r="CH45" s="74"/>
      <c r="CI45" s="74"/>
      <c r="CJ45" s="74"/>
      <c r="CK45" s="74"/>
      <c r="CL45" s="74"/>
      <c r="CM45" s="74"/>
      <c r="CN45" s="74"/>
      <c r="CO45" s="74"/>
      <c r="CP45" s="74"/>
      <c r="CQ45" s="74"/>
      <c r="CR45" s="74"/>
      <c r="CS45" s="74"/>
      <c r="CT45" s="74"/>
      <c r="CU45" s="74"/>
      <c r="CV45" s="74"/>
      <c r="CW45" s="74"/>
      <c r="CX45" s="74"/>
      <c r="CY45" s="74"/>
      <c r="CZ45" s="74"/>
      <c r="DA45" s="74"/>
      <c r="DB45" s="74"/>
      <c r="DC45" s="74"/>
      <c r="DD45" s="74"/>
      <c r="DE45" s="74"/>
      <c r="DF45" s="74"/>
      <c r="DG45" s="74"/>
      <c r="DH45" s="74"/>
      <c r="DI45" s="74"/>
      <c r="DJ45" s="74"/>
      <c r="DK45" s="74"/>
      <c r="DL45" s="74"/>
      <c r="DM45" s="74"/>
      <c r="DN45" s="74"/>
      <c r="DO45" s="74"/>
      <c r="DP45" s="74"/>
      <c r="DQ45" s="74"/>
      <c r="DR45" s="74"/>
      <c r="DS45" s="74"/>
      <c r="DT45" s="74"/>
      <c r="DU45" s="74"/>
      <c r="DV45" s="74"/>
      <c r="DW45" s="74"/>
      <c r="DX45" s="74"/>
      <c r="DY45" s="74"/>
      <c r="DZ45" s="74"/>
      <c r="EA45" s="74"/>
      <c r="EB45" s="74"/>
      <c r="EC45" s="74"/>
      <c r="ED45" s="74"/>
      <c r="EE45" s="74"/>
      <c r="EF45" s="74"/>
      <c r="EG45" s="74"/>
      <c r="EH45" s="74"/>
      <c r="EI45" s="74"/>
      <c r="EJ45" s="74"/>
      <c r="EK45" s="74"/>
      <c r="EL45" s="74"/>
      <c r="EM45" s="74"/>
      <c r="EN45" s="74"/>
      <c r="EO45" s="74"/>
      <c r="EP45" s="74"/>
      <c r="EQ45" s="74"/>
      <c r="ER45" s="74"/>
      <c r="ES45" s="74"/>
      <c r="ET45" s="74"/>
      <c r="EU45" s="74"/>
      <c r="EV45" s="74"/>
      <c r="EW45" s="74"/>
      <c r="EX45" s="74"/>
      <c r="EY45" s="74"/>
    </row>
    <row r="46" spans="1:155" x14ac:dyDescent="0.2">
      <c r="E46" s="37" t="str">
        <f t="shared" ref="E46" si="8">IF(C46="","",IF(C46="NA",0,4))</f>
        <v/>
      </c>
      <c r="F46" s="56"/>
      <c r="G46" s="144"/>
      <c r="H46" s="144"/>
      <c r="I46" s="144"/>
      <c r="J46" s="144"/>
      <c r="K46" s="144"/>
    </row>
    <row r="47" spans="1:155" x14ac:dyDescent="0.2">
      <c r="A47" s="439"/>
      <c r="B47" s="37" t="s">
        <v>400</v>
      </c>
      <c r="D47" s="156"/>
      <c r="F47" s="56"/>
    </row>
    <row r="48" spans="1:155" x14ac:dyDescent="0.2">
      <c r="A48" s="440"/>
      <c r="B48" s="37" t="s">
        <v>401</v>
      </c>
    </row>
    <row r="78" spans="1:10" ht="12" x14ac:dyDescent="0.2">
      <c r="A78" s="84"/>
      <c r="B78" s="85"/>
      <c r="C78" s="86"/>
      <c r="D78" s="86"/>
      <c r="E78" s="86"/>
      <c r="F78" s="86"/>
      <c r="G78" s="86"/>
      <c r="H78" s="87"/>
      <c r="I78" s="88"/>
      <c r="J78" s="88"/>
    </row>
    <row r="79" spans="1:10" ht="12" x14ac:dyDescent="0.2">
      <c r="A79" s="84"/>
      <c r="B79" s="85"/>
      <c r="C79" s="86"/>
      <c r="D79" s="86"/>
      <c r="E79" s="86"/>
      <c r="F79" s="86"/>
      <c r="G79" s="86"/>
      <c r="H79" s="87"/>
      <c r="I79" s="88"/>
      <c r="J79" s="88"/>
    </row>
    <row r="80" spans="1:10" ht="12" x14ac:dyDescent="0.2">
      <c r="A80" s="84"/>
      <c r="B80" s="85"/>
      <c r="C80" s="86"/>
      <c r="D80" s="86"/>
      <c r="E80" s="86"/>
      <c r="F80" s="86"/>
      <c r="G80" s="86"/>
      <c r="H80" s="87"/>
      <c r="I80" s="88"/>
      <c r="J80" s="88"/>
    </row>
    <row r="81" spans="1:10" ht="12" x14ac:dyDescent="0.2">
      <c r="A81" s="84"/>
      <c r="B81" s="85"/>
      <c r="C81" s="86"/>
      <c r="D81" s="86"/>
      <c r="E81" s="86"/>
      <c r="F81" s="86"/>
      <c r="G81" s="86"/>
      <c r="H81" s="87"/>
      <c r="I81" s="88"/>
      <c r="J81" s="88"/>
    </row>
    <row r="82" spans="1:10" ht="12" x14ac:dyDescent="0.2">
      <c r="A82" s="84"/>
      <c r="B82" s="85"/>
      <c r="C82" s="86"/>
      <c r="D82" s="86"/>
      <c r="E82" s="86"/>
      <c r="F82" s="86"/>
      <c r="G82" s="86"/>
      <c r="H82" s="87"/>
      <c r="I82" s="88"/>
      <c r="J82" s="88"/>
    </row>
    <row r="83" spans="1:10" ht="12" x14ac:dyDescent="0.2">
      <c r="A83" s="89"/>
      <c r="B83" s="90"/>
      <c r="C83" s="85"/>
      <c r="D83" s="91"/>
      <c r="E83" s="91"/>
      <c r="F83" s="91"/>
      <c r="G83" s="92"/>
      <c r="H83" s="91"/>
      <c r="I83" s="88"/>
      <c r="J83" s="88"/>
    </row>
    <row r="84" spans="1:10" ht="12" x14ac:dyDescent="0.2">
      <c r="A84" s="89"/>
      <c r="B84" s="90"/>
      <c r="C84" s="85"/>
      <c r="D84" s="91"/>
      <c r="E84" s="91"/>
      <c r="F84" s="91"/>
      <c r="G84" s="92"/>
      <c r="H84" s="91"/>
      <c r="I84" s="88"/>
      <c r="J84" s="88"/>
    </row>
    <row r="85" spans="1:10" ht="12" x14ac:dyDescent="0.2">
      <c r="A85" s="93"/>
      <c r="B85" s="74"/>
      <c r="C85" s="94"/>
      <c r="D85" s="88"/>
      <c r="E85" s="88"/>
      <c r="F85" s="88"/>
      <c r="G85" s="63"/>
      <c r="H85" s="88"/>
      <c r="I85" s="88"/>
      <c r="J85" s="88"/>
    </row>
    <row r="86" spans="1:10" ht="12" x14ac:dyDescent="0.2">
      <c r="A86" s="93"/>
      <c r="B86" s="74"/>
      <c r="C86" s="94"/>
      <c r="D86" s="88"/>
      <c r="E86" s="88"/>
      <c r="F86" s="88"/>
      <c r="G86" s="63"/>
      <c r="H86" s="88"/>
      <c r="I86" s="88"/>
      <c r="J86" s="88"/>
    </row>
    <row r="87" spans="1:10" ht="12" x14ac:dyDescent="0.2">
      <c r="A87" s="93"/>
      <c r="B87" s="74"/>
      <c r="C87" s="94"/>
      <c r="D87" s="88"/>
      <c r="E87" s="88"/>
      <c r="F87" s="88"/>
      <c r="G87" s="63"/>
      <c r="H87" s="88"/>
      <c r="I87" s="88"/>
      <c r="J87" s="88"/>
    </row>
    <row r="88" spans="1:10" ht="12" x14ac:dyDescent="0.2">
      <c r="A88" s="93"/>
      <c r="B88" s="74"/>
      <c r="C88" s="94"/>
      <c r="D88" s="88"/>
      <c r="E88" s="88"/>
      <c r="F88" s="88"/>
      <c r="G88" s="63"/>
      <c r="H88" s="88"/>
      <c r="I88" s="88"/>
      <c r="J88" s="88"/>
    </row>
    <row r="89" spans="1:10" ht="12" x14ac:dyDescent="0.2">
      <c r="A89" s="93"/>
      <c r="B89" s="74"/>
      <c r="C89" s="94"/>
      <c r="D89" s="88"/>
      <c r="E89" s="88"/>
      <c r="F89" s="88"/>
      <c r="G89" s="63"/>
      <c r="H89" s="88"/>
      <c r="I89" s="88"/>
      <c r="J89" s="88"/>
    </row>
    <row r="90" spans="1:10" ht="12" x14ac:dyDescent="0.2">
      <c r="A90" s="93"/>
      <c r="B90" s="74"/>
      <c r="C90" s="94"/>
      <c r="D90" s="88"/>
      <c r="E90" s="88"/>
      <c r="F90" s="88"/>
      <c r="G90" s="63"/>
      <c r="H90" s="88"/>
      <c r="I90" s="88"/>
      <c r="J90" s="88"/>
    </row>
    <row r="91" spans="1:10" ht="12" x14ac:dyDescent="0.2">
      <c r="A91" s="93"/>
      <c r="B91" s="74"/>
      <c r="C91" s="94"/>
      <c r="D91" s="88"/>
      <c r="E91" s="88"/>
      <c r="F91" s="88"/>
      <c r="G91" s="63"/>
      <c r="H91" s="88"/>
      <c r="I91" s="88"/>
      <c r="J91" s="88"/>
    </row>
    <row r="92" spans="1:10" ht="12" x14ac:dyDescent="0.2">
      <c r="A92" s="93"/>
      <c r="B92" s="74"/>
      <c r="C92" s="94"/>
      <c r="D92" s="88"/>
      <c r="E92" s="88"/>
      <c r="F92" s="88"/>
      <c r="G92" s="63"/>
      <c r="H92" s="88"/>
      <c r="I92" s="88"/>
      <c r="J92" s="88"/>
    </row>
    <row r="93" spans="1:10" ht="12" x14ac:dyDescent="0.2">
      <c r="A93" s="93"/>
      <c r="B93" s="74"/>
      <c r="C93" s="94"/>
      <c r="D93" s="88"/>
      <c r="E93" s="88"/>
      <c r="F93" s="88"/>
      <c r="G93" s="63"/>
      <c r="H93" s="88"/>
      <c r="I93" s="88"/>
      <c r="J93" s="88"/>
    </row>
    <row r="94" spans="1:10" ht="12" x14ac:dyDescent="0.2">
      <c r="A94" s="93"/>
      <c r="B94" s="74"/>
      <c r="C94" s="94"/>
      <c r="D94" s="88"/>
      <c r="E94" s="88"/>
      <c r="F94" s="88"/>
      <c r="G94" s="63"/>
      <c r="H94" s="88"/>
      <c r="I94" s="88"/>
      <c r="J94" s="88"/>
    </row>
    <row r="95" spans="1:10" ht="12" x14ac:dyDescent="0.2">
      <c r="A95" s="93"/>
      <c r="B95" s="74"/>
      <c r="C95" s="94"/>
      <c r="D95" s="88"/>
      <c r="E95" s="88"/>
      <c r="F95" s="88"/>
      <c r="G95" s="63"/>
      <c r="H95" s="88"/>
      <c r="I95" s="88"/>
      <c r="J95" s="88"/>
    </row>
    <row r="96" spans="1:10" ht="12" x14ac:dyDescent="0.2">
      <c r="A96" s="93"/>
      <c r="B96" s="74"/>
      <c r="C96" s="94"/>
      <c r="D96" s="88"/>
      <c r="E96" s="88"/>
      <c r="F96" s="88"/>
      <c r="G96" s="63"/>
      <c r="H96" s="88"/>
      <c r="I96" s="88"/>
      <c r="J96" s="88"/>
    </row>
    <row r="97" spans="1:10" ht="12" x14ac:dyDescent="0.2">
      <c r="A97" s="93"/>
      <c r="B97" s="74"/>
      <c r="C97" s="94"/>
      <c r="D97" s="88"/>
      <c r="E97" s="88"/>
      <c r="F97" s="88"/>
      <c r="G97" s="63"/>
      <c r="H97" s="88"/>
      <c r="I97" s="88"/>
      <c r="J97" s="88"/>
    </row>
    <row r="98" spans="1:10" ht="12" x14ac:dyDescent="0.2">
      <c r="A98" s="93"/>
      <c r="B98" s="74"/>
      <c r="C98" s="94"/>
      <c r="D98" s="88"/>
      <c r="E98" s="88"/>
      <c r="F98" s="88"/>
      <c r="G98" s="63"/>
      <c r="H98" s="88"/>
      <c r="I98" s="88"/>
      <c r="J98" s="88"/>
    </row>
    <row r="99" spans="1:10" ht="12" x14ac:dyDescent="0.2">
      <c r="A99" s="93"/>
      <c r="B99" s="74"/>
      <c r="C99" s="94"/>
      <c r="D99" s="88"/>
      <c r="E99" s="88"/>
      <c r="F99" s="88"/>
      <c r="G99" s="63"/>
      <c r="H99" s="88"/>
      <c r="I99" s="88"/>
      <c r="J99" s="88"/>
    </row>
    <row r="100" spans="1:10" ht="12" x14ac:dyDescent="0.2">
      <c r="A100" s="93"/>
      <c r="B100" s="74"/>
      <c r="C100" s="94"/>
      <c r="D100" s="88"/>
      <c r="E100" s="88"/>
      <c r="F100" s="88"/>
      <c r="G100" s="63"/>
      <c r="H100" s="88"/>
      <c r="I100" s="88"/>
      <c r="J100" s="88"/>
    </row>
    <row r="101" spans="1:10" ht="12" x14ac:dyDescent="0.2">
      <c r="A101" s="93"/>
      <c r="B101" s="74"/>
      <c r="C101" s="94"/>
      <c r="D101" s="88"/>
      <c r="E101" s="88"/>
      <c r="F101" s="88"/>
      <c r="G101" s="63"/>
      <c r="H101" s="88"/>
      <c r="I101" s="88"/>
      <c r="J101" s="88"/>
    </row>
    <row r="102" spans="1:10" ht="12" x14ac:dyDescent="0.2">
      <c r="A102" s="93"/>
      <c r="B102" s="74"/>
      <c r="C102" s="94"/>
      <c r="D102" s="88"/>
      <c r="E102" s="88"/>
      <c r="F102" s="88"/>
      <c r="G102" s="63"/>
      <c r="H102" s="88"/>
      <c r="I102" s="88"/>
      <c r="J102" s="88"/>
    </row>
    <row r="103" spans="1:10" ht="12" x14ac:dyDescent="0.2">
      <c r="A103" s="93"/>
      <c r="B103" s="74"/>
      <c r="C103" s="94"/>
      <c r="D103" s="88"/>
      <c r="E103" s="88"/>
      <c r="F103" s="88"/>
      <c r="G103" s="63"/>
      <c r="H103" s="88"/>
      <c r="I103" s="88"/>
      <c r="J103" s="88"/>
    </row>
    <row r="104" spans="1:10" ht="12" x14ac:dyDescent="0.2">
      <c r="A104" s="93"/>
      <c r="B104" s="74"/>
      <c r="C104" s="94"/>
      <c r="D104" s="88"/>
      <c r="E104" s="88"/>
      <c r="F104" s="88"/>
      <c r="G104" s="63"/>
      <c r="H104" s="88"/>
      <c r="I104" s="88"/>
      <c r="J104" s="88"/>
    </row>
    <row r="105" spans="1:10" ht="12" x14ac:dyDescent="0.2">
      <c r="A105" s="93"/>
      <c r="B105" s="74"/>
      <c r="C105" s="94"/>
      <c r="D105" s="88"/>
      <c r="E105" s="88"/>
      <c r="F105" s="88"/>
      <c r="G105" s="63"/>
      <c r="H105" s="88"/>
      <c r="I105" s="88"/>
      <c r="J105" s="88"/>
    </row>
    <row r="106" spans="1:10" ht="12" x14ac:dyDescent="0.2">
      <c r="A106" s="93"/>
      <c r="B106" s="74"/>
      <c r="C106" s="94"/>
      <c r="D106" s="88"/>
      <c r="E106" s="88"/>
      <c r="F106" s="88"/>
      <c r="G106" s="63"/>
      <c r="H106" s="88"/>
      <c r="I106" s="88"/>
      <c r="J106" s="88"/>
    </row>
    <row r="107" spans="1:10" ht="12" x14ac:dyDescent="0.2">
      <c r="A107" s="93"/>
      <c r="B107" s="74"/>
      <c r="C107" s="94"/>
      <c r="D107" s="88"/>
      <c r="E107" s="88"/>
      <c r="F107" s="88"/>
      <c r="G107" s="63"/>
      <c r="H107" s="88"/>
      <c r="I107" s="88"/>
      <c r="J107" s="88"/>
    </row>
    <row r="108" spans="1:10" ht="12" x14ac:dyDescent="0.2">
      <c r="A108" s="93"/>
      <c r="B108" s="74"/>
      <c r="C108" s="94"/>
      <c r="D108" s="88"/>
      <c r="E108" s="88"/>
      <c r="F108" s="88"/>
      <c r="G108" s="63"/>
      <c r="H108" s="88"/>
      <c r="I108" s="88"/>
      <c r="J108" s="88"/>
    </row>
    <row r="109" spans="1:10" ht="12" x14ac:dyDescent="0.2">
      <c r="A109" s="93"/>
      <c r="B109" s="74"/>
      <c r="C109" s="94"/>
      <c r="D109" s="88"/>
      <c r="E109" s="88"/>
      <c r="F109" s="88"/>
      <c r="G109" s="63"/>
      <c r="H109" s="88"/>
      <c r="I109" s="88"/>
      <c r="J109" s="88"/>
    </row>
    <row r="110" spans="1:10" ht="12" x14ac:dyDescent="0.2">
      <c r="A110" s="93"/>
      <c r="B110" s="74"/>
      <c r="C110" s="94"/>
      <c r="D110" s="88"/>
      <c r="E110" s="88"/>
      <c r="F110" s="88"/>
      <c r="G110" s="63"/>
      <c r="H110" s="88"/>
      <c r="I110" s="88"/>
      <c r="J110" s="88"/>
    </row>
    <row r="111" spans="1:10" ht="12" x14ac:dyDescent="0.2">
      <c r="A111" s="93"/>
      <c r="B111" s="74"/>
      <c r="C111" s="94"/>
      <c r="D111" s="88"/>
      <c r="E111" s="88"/>
      <c r="F111" s="88"/>
      <c r="G111" s="63"/>
      <c r="H111" s="88"/>
      <c r="I111" s="88"/>
      <c r="J111" s="88"/>
    </row>
    <row r="112" spans="1:10" ht="12" x14ac:dyDescent="0.2">
      <c r="A112" s="93"/>
      <c r="B112" s="74"/>
      <c r="C112" s="94"/>
      <c r="D112" s="88"/>
      <c r="E112" s="88"/>
      <c r="F112" s="88"/>
      <c r="G112" s="63"/>
      <c r="H112" s="88"/>
      <c r="I112" s="88"/>
      <c r="J112" s="88"/>
    </row>
    <row r="113" spans="1:10" ht="12" x14ac:dyDescent="0.2">
      <c r="A113" s="93"/>
      <c r="B113" s="74"/>
      <c r="C113" s="94"/>
      <c r="D113" s="88"/>
      <c r="E113" s="88"/>
      <c r="F113" s="88"/>
      <c r="G113" s="63"/>
      <c r="H113" s="88"/>
      <c r="I113" s="88"/>
      <c r="J113" s="88"/>
    </row>
    <row r="114" spans="1:10" ht="12" x14ac:dyDescent="0.2">
      <c r="A114" s="93"/>
      <c r="B114" s="74"/>
      <c r="C114" s="94"/>
      <c r="D114" s="88"/>
      <c r="E114" s="88"/>
      <c r="F114" s="88"/>
      <c r="G114" s="63"/>
      <c r="H114" s="88"/>
      <c r="I114" s="88"/>
      <c r="J114" s="88"/>
    </row>
    <row r="115" spans="1:10" ht="12" x14ac:dyDescent="0.2">
      <c r="A115" s="93"/>
      <c r="B115" s="74"/>
      <c r="C115" s="94"/>
      <c r="D115" s="88"/>
      <c r="E115" s="88"/>
      <c r="F115" s="88"/>
      <c r="G115" s="63"/>
      <c r="H115" s="88"/>
      <c r="I115" s="88"/>
      <c r="J115" s="88"/>
    </row>
    <row r="116" spans="1:10" ht="12" x14ac:dyDescent="0.2">
      <c r="A116" s="93"/>
      <c r="B116" s="74"/>
      <c r="C116" s="94"/>
      <c r="D116" s="88"/>
      <c r="E116" s="88"/>
      <c r="F116" s="88"/>
      <c r="G116" s="63"/>
      <c r="H116" s="88"/>
      <c r="I116" s="88"/>
      <c r="J116" s="88"/>
    </row>
    <row r="117" spans="1:10" ht="12" x14ac:dyDescent="0.2">
      <c r="A117" s="93"/>
      <c r="B117" s="74"/>
      <c r="C117" s="94"/>
      <c r="D117" s="88"/>
      <c r="E117" s="88"/>
      <c r="F117" s="88"/>
      <c r="G117" s="63"/>
      <c r="H117" s="88"/>
      <c r="I117" s="88"/>
      <c r="J117" s="88"/>
    </row>
    <row r="118" spans="1:10" ht="12" x14ac:dyDescent="0.2">
      <c r="A118" s="93"/>
      <c r="B118" s="74"/>
      <c r="C118" s="94"/>
      <c r="D118" s="88"/>
      <c r="E118" s="88"/>
      <c r="F118" s="88"/>
      <c r="G118" s="63"/>
      <c r="H118" s="88"/>
      <c r="I118" s="88"/>
      <c r="J118" s="88"/>
    </row>
    <row r="119" spans="1:10" ht="12" x14ac:dyDescent="0.2">
      <c r="A119" s="93"/>
      <c r="B119" s="74"/>
      <c r="C119" s="94"/>
      <c r="D119" s="88"/>
      <c r="E119" s="88"/>
      <c r="F119" s="88"/>
      <c r="G119" s="63"/>
      <c r="H119" s="88"/>
      <c r="I119" s="88"/>
      <c r="J119" s="88"/>
    </row>
    <row r="120" spans="1:10" ht="12" x14ac:dyDescent="0.2">
      <c r="A120" s="93"/>
      <c r="B120" s="74"/>
      <c r="C120" s="94"/>
      <c r="D120" s="88"/>
      <c r="E120" s="88"/>
      <c r="F120" s="88"/>
      <c r="G120" s="63"/>
      <c r="H120" s="88"/>
      <c r="I120" s="88"/>
      <c r="J120" s="88"/>
    </row>
    <row r="121" spans="1:10" ht="12" x14ac:dyDescent="0.2">
      <c r="A121" s="93"/>
      <c r="B121" s="74"/>
      <c r="C121" s="94"/>
      <c r="D121" s="88"/>
      <c r="E121" s="88"/>
      <c r="F121" s="88"/>
      <c r="G121" s="63"/>
      <c r="H121" s="88"/>
      <c r="I121" s="88"/>
      <c r="J121" s="88"/>
    </row>
    <row r="122" spans="1:10" ht="12" x14ac:dyDescent="0.2">
      <c r="A122" s="93"/>
      <c r="B122" s="74"/>
      <c r="C122" s="94"/>
      <c r="D122" s="88"/>
      <c r="E122" s="88"/>
      <c r="F122" s="88"/>
      <c r="G122" s="63"/>
      <c r="H122" s="88"/>
      <c r="I122" s="88"/>
      <c r="J122" s="88"/>
    </row>
    <row r="123" spans="1:10" ht="12" x14ac:dyDescent="0.2">
      <c r="A123" s="93"/>
      <c r="B123" s="74"/>
      <c r="C123" s="94"/>
      <c r="D123" s="88"/>
      <c r="E123" s="88"/>
      <c r="F123" s="88"/>
      <c r="G123" s="63"/>
      <c r="H123" s="88"/>
      <c r="I123" s="88"/>
      <c r="J123" s="88"/>
    </row>
    <row r="124" spans="1:10" ht="12" x14ac:dyDescent="0.2">
      <c r="A124" s="93"/>
      <c r="B124" s="74"/>
      <c r="C124" s="94"/>
      <c r="D124" s="88"/>
      <c r="E124" s="88"/>
      <c r="F124" s="88"/>
      <c r="G124" s="63"/>
      <c r="H124" s="88"/>
      <c r="I124" s="88"/>
      <c r="J124" s="88"/>
    </row>
    <row r="125" spans="1:10" ht="12" x14ac:dyDescent="0.2">
      <c r="A125" s="93"/>
      <c r="B125" s="74"/>
      <c r="C125" s="94"/>
      <c r="D125" s="88"/>
      <c r="E125" s="88"/>
      <c r="F125" s="88"/>
      <c r="G125" s="63"/>
      <c r="H125" s="88"/>
      <c r="I125" s="88"/>
      <c r="J125" s="88"/>
    </row>
    <row r="126" spans="1:10" ht="12" x14ac:dyDescent="0.2">
      <c r="A126" s="93"/>
      <c r="B126" s="74"/>
      <c r="C126" s="94"/>
      <c r="D126" s="88"/>
      <c r="E126" s="88"/>
      <c r="F126" s="88"/>
      <c r="G126" s="63"/>
      <c r="H126" s="88"/>
      <c r="I126" s="88"/>
      <c r="J126" s="88"/>
    </row>
    <row r="127" spans="1:10" ht="12" x14ac:dyDescent="0.2">
      <c r="A127" s="93"/>
      <c r="B127" s="74"/>
      <c r="C127" s="94"/>
      <c r="D127" s="88"/>
      <c r="E127" s="88"/>
      <c r="F127" s="88"/>
      <c r="G127" s="63"/>
      <c r="H127" s="88"/>
      <c r="I127" s="88"/>
      <c r="J127" s="88"/>
    </row>
    <row r="128" spans="1:10" ht="12" x14ac:dyDescent="0.2">
      <c r="A128" s="93"/>
      <c r="B128" s="74"/>
      <c r="C128" s="94"/>
      <c r="D128" s="88"/>
      <c r="E128" s="88"/>
      <c r="F128" s="88"/>
      <c r="G128" s="63"/>
      <c r="H128" s="88"/>
      <c r="I128" s="88"/>
      <c r="J128" s="88"/>
    </row>
    <row r="129" spans="1:10" x14ac:dyDescent="0.2">
      <c r="A129" s="39"/>
      <c r="B129" s="39"/>
      <c r="C129" s="39"/>
      <c r="D129" s="39"/>
      <c r="E129" s="39"/>
      <c r="F129" s="39"/>
      <c r="G129" s="39"/>
      <c r="H129" s="39"/>
      <c r="I129" s="39"/>
      <c r="J129" s="39"/>
    </row>
  </sheetData>
  <sheetProtection password="C445" sheet="1" objects="1" scenarios="1" selectLockedCells="1"/>
  <mergeCells count="3">
    <mergeCell ref="A1:J1"/>
    <mergeCell ref="A3:J3"/>
    <mergeCell ref="A5:J5"/>
  </mergeCells>
  <dataValidations count="4">
    <dataValidation type="custom" allowBlank="1" showInputMessage="1" showErrorMessage="1" error="No data required in this cell" sqref="C44:C45 F39:F45 F24:F31 C31 D25:E25 C29 F22 C22 C33:C37 F33:F37 C24:C25" xr:uid="{00000000-0002-0000-0600-000000000000}">
      <formula1>ISBLANK(C22)=TRUE</formula1>
    </dataValidation>
    <dataValidation type="custom" showInputMessage="1" showErrorMessage="1" sqref="E17:E21 E30 E26:E28 E39:E43" xr:uid="{00000000-0002-0000-0600-000001000000}">
      <formula1>ISBLANK(E17)=FALSE</formula1>
    </dataValidation>
    <dataValidation type="list" allowBlank="1" showDropDown="1" showInputMessage="1" showErrorMessage="1" error="Pls enter &quot;Data not allowed&quot; or &quot;Not applicable&quot; or valid ratio/number._x000a_If not applicable, then score out of will be zero, else score out of will be considered." sqref="D24 D33:D36 A48" xr:uid="{00000000-0002-0000-0600-000002000000}">
      <formula1>$J$24:$J$30</formula1>
    </dataValidation>
    <dataValidation type="custom" showInputMessage="1" showErrorMessage="1" error="Pls enter &quot;Data not allowed&quot; or &quot;Not applicable&quot; or valid ratio/number._x000a_If not applicable, then score out of will be zero, else score out of will be considered." sqref="C30 C17:C21 C26:C28 C39:C43" xr:uid="{00000000-0002-0000-0600-000003000000}">
      <formula1>OR(C17="Not applicable",C17="Data not available",AND(ISNUMBER(C17)))</formula1>
    </dataValidation>
  </dataValidations>
  <pageMargins left="0.7" right="0.7" top="0.75" bottom="0.75" header="0.3" footer="0.3"/>
  <pageSetup paperSize="9" scale="77" orientation="landscape" r:id="rId1"/>
  <ignoredErrors>
    <ignoredError sqref="E29 D41:D42"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fitToPage="1"/>
  </sheetPr>
  <dimension ref="A1:FD45"/>
  <sheetViews>
    <sheetView showGridLines="0" topLeftCell="A13" workbookViewId="0">
      <selection activeCell="C18" sqref="C18"/>
    </sheetView>
  </sheetViews>
  <sheetFormatPr defaultColWidth="9.109375" defaultRowHeight="14.4" x14ac:dyDescent="0.3"/>
  <cols>
    <col min="1" max="1" width="6.33203125" style="99" bestFit="1" customWidth="1"/>
    <col min="2" max="2" width="50" style="98" bestFit="1" customWidth="1"/>
    <col min="3" max="3" width="20.33203125" style="99" bestFit="1" customWidth="1"/>
    <col min="4" max="4" width="19.6640625" style="98" customWidth="1"/>
    <col min="5" max="11" width="9.109375" style="182"/>
    <col min="12" max="12" width="9.109375" style="148"/>
    <col min="13" max="16384" width="9.109375" style="98"/>
  </cols>
  <sheetData>
    <row r="1" spans="1:160" x14ac:dyDescent="0.3">
      <c r="A1" s="95" t="s">
        <v>43</v>
      </c>
      <c r="B1" s="96" t="s">
        <v>112</v>
      </c>
      <c r="C1" s="155" t="s">
        <v>111</v>
      </c>
      <c r="D1" s="97" t="str">
        <f>IF('Financial strength'!C6="","",'Financial strength'!C6)</f>
        <v/>
      </c>
    </row>
    <row r="2" spans="1:160" ht="15" thickBot="1" x14ac:dyDescent="0.35"/>
    <row r="3" spans="1:160" s="37" customFormat="1" ht="20.25" customHeight="1" thickBot="1" x14ac:dyDescent="0.25">
      <c r="A3" s="65" t="s">
        <v>103</v>
      </c>
      <c r="B3" s="100" t="s">
        <v>8</v>
      </c>
      <c r="C3" s="67" t="s">
        <v>9</v>
      </c>
      <c r="D3" s="101" t="s">
        <v>109</v>
      </c>
      <c r="E3" s="138"/>
      <c r="F3" s="138"/>
      <c r="G3" s="138"/>
      <c r="H3" s="139"/>
      <c r="I3" s="138"/>
      <c r="J3" s="139"/>
      <c r="K3" s="138"/>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row>
    <row r="4" spans="1:160" s="37" customFormat="1" ht="16.5" customHeight="1" x14ac:dyDescent="0.2">
      <c r="A4" s="70">
        <v>1</v>
      </c>
      <c r="B4" s="71" t="s">
        <v>72</v>
      </c>
      <c r="C4" s="56"/>
      <c r="D4" s="102"/>
      <c r="E4" s="138"/>
      <c r="F4" s="138"/>
      <c r="G4" s="144"/>
      <c r="H4" s="144"/>
      <c r="I4" s="139"/>
      <c r="J4" s="138"/>
      <c r="K4" s="177"/>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c r="CJ4" s="74"/>
      <c r="CK4" s="74"/>
      <c r="CL4" s="74"/>
      <c r="CM4" s="74"/>
      <c r="CN4" s="74"/>
      <c r="CO4" s="74"/>
      <c r="CP4" s="74"/>
      <c r="CQ4" s="74"/>
      <c r="CR4" s="74"/>
      <c r="CS4" s="74"/>
      <c r="CT4" s="74"/>
      <c r="CU4" s="74"/>
      <c r="CV4" s="74"/>
      <c r="CW4" s="74"/>
      <c r="CX4" s="74"/>
      <c r="CY4" s="74"/>
      <c r="CZ4" s="74"/>
      <c r="DA4" s="74"/>
      <c r="DB4" s="74"/>
      <c r="DC4" s="74"/>
      <c r="DD4" s="74"/>
      <c r="DE4" s="74"/>
      <c r="DF4" s="74"/>
      <c r="DG4" s="74"/>
      <c r="DH4" s="74"/>
      <c r="DI4" s="74"/>
      <c r="DJ4" s="74"/>
      <c r="DK4" s="74"/>
      <c r="DL4" s="74"/>
      <c r="DM4" s="74"/>
      <c r="DN4" s="74"/>
      <c r="DO4" s="74"/>
      <c r="DP4" s="74"/>
      <c r="DQ4" s="74"/>
      <c r="DR4" s="74"/>
      <c r="DS4" s="74"/>
      <c r="DT4" s="74"/>
      <c r="DU4" s="74"/>
      <c r="DV4" s="74"/>
      <c r="DW4" s="74"/>
      <c r="DX4" s="74"/>
      <c r="DY4" s="74"/>
      <c r="DZ4" s="74"/>
      <c r="EA4" s="74"/>
      <c r="EB4" s="74"/>
      <c r="EC4" s="74"/>
      <c r="ED4" s="74"/>
      <c r="EE4" s="74"/>
      <c r="EF4" s="74"/>
      <c r="EG4" s="74"/>
      <c r="EH4" s="74"/>
      <c r="EI4" s="74"/>
      <c r="EJ4" s="74"/>
      <c r="EK4" s="74"/>
      <c r="EL4" s="74"/>
      <c r="EM4" s="74"/>
      <c r="EN4" s="74"/>
      <c r="EO4" s="74"/>
      <c r="EP4" s="74"/>
      <c r="EQ4" s="74"/>
      <c r="ER4" s="74"/>
      <c r="ES4" s="74"/>
      <c r="ET4" s="74"/>
      <c r="EU4" s="74"/>
      <c r="EV4" s="74"/>
      <c r="EW4" s="74"/>
      <c r="EX4" s="74"/>
      <c r="EY4" s="74"/>
    </row>
    <row r="5" spans="1:160" s="37" customFormat="1" ht="11.4" x14ac:dyDescent="0.2">
      <c r="A5" s="103" t="s">
        <v>14</v>
      </c>
      <c r="B5" s="104" t="s">
        <v>73</v>
      </c>
      <c r="C5" s="130">
        <v>0</v>
      </c>
      <c r="D5" s="19">
        <f>IF(C5="","",IF(C5="Not applicable","-",4))</f>
        <v>4</v>
      </c>
      <c r="E5" s="138"/>
      <c r="F5" s="138"/>
      <c r="G5" s="138" t="s">
        <v>128</v>
      </c>
      <c r="H5" s="139"/>
      <c r="I5" s="138"/>
      <c r="J5" s="139"/>
      <c r="K5" s="138"/>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c r="FA5" s="74"/>
      <c r="FB5" s="74"/>
      <c r="FC5" s="74"/>
      <c r="FD5" s="74"/>
    </row>
    <row r="6" spans="1:160" s="37" customFormat="1" ht="11.4" x14ac:dyDescent="0.2">
      <c r="A6" s="103" t="s">
        <v>13</v>
      </c>
      <c r="B6" s="104" t="s">
        <v>74</v>
      </c>
      <c r="C6" s="130">
        <v>0</v>
      </c>
      <c r="D6" s="19">
        <f t="shared" ref="D6:D10" si="0">IF(C6="","",IF(C6="Not applicable","-",4))</f>
        <v>4</v>
      </c>
      <c r="E6" s="138"/>
      <c r="F6" s="138"/>
      <c r="G6" s="145" t="s">
        <v>129</v>
      </c>
      <c r="H6" s="139"/>
      <c r="I6" s="138"/>
      <c r="J6" s="139"/>
      <c r="K6" s="138"/>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row>
    <row r="7" spans="1:160" s="37" customFormat="1" ht="11.4" x14ac:dyDescent="0.2">
      <c r="A7" s="103" t="s">
        <v>27</v>
      </c>
      <c r="B7" s="104" t="s">
        <v>75</v>
      </c>
      <c r="C7" s="130">
        <v>0</v>
      </c>
      <c r="D7" s="19">
        <f t="shared" si="0"/>
        <v>4</v>
      </c>
      <c r="E7" s="138"/>
      <c r="F7" s="138"/>
      <c r="G7" s="145">
        <v>0</v>
      </c>
      <c r="H7" s="139"/>
      <c r="I7" s="138"/>
      <c r="J7" s="139"/>
      <c r="K7" s="138"/>
      <c r="L7" s="74"/>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row>
    <row r="8" spans="1:160" s="37" customFormat="1" ht="11.4" x14ac:dyDescent="0.2">
      <c r="A8" s="103" t="s">
        <v>12</v>
      </c>
      <c r="B8" s="104" t="s">
        <v>76</v>
      </c>
      <c r="C8" s="130">
        <v>0</v>
      </c>
      <c r="D8" s="19">
        <f t="shared" si="0"/>
        <v>4</v>
      </c>
      <c r="E8" s="138"/>
      <c r="F8" s="138"/>
      <c r="G8" s="138">
        <v>1</v>
      </c>
      <c r="H8" s="139"/>
      <c r="I8" s="138"/>
      <c r="J8" s="139"/>
      <c r="K8" s="138"/>
      <c r="L8" s="74"/>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row>
    <row r="9" spans="1:160" s="37" customFormat="1" ht="11.4" x14ac:dyDescent="0.2">
      <c r="A9" s="103" t="s">
        <v>37</v>
      </c>
      <c r="B9" s="104" t="s">
        <v>77</v>
      </c>
      <c r="C9" s="130">
        <v>0</v>
      </c>
      <c r="D9" s="19">
        <f t="shared" si="0"/>
        <v>4</v>
      </c>
      <c r="E9" s="138"/>
      <c r="F9" s="138"/>
      <c r="G9" s="138">
        <v>2</v>
      </c>
      <c r="H9" s="139"/>
      <c r="I9" s="138"/>
      <c r="J9" s="139"/>
      <c r="K9" s="138"/>
      <c r="L9" s="74"/>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row>
    <row r="10" spans="1:160" s="37" customFormat="1" ht="11.4" x14ac:dyDescent="0.2">
      <c r="A10" s="103" t="s">
        <v>44</v>
      </c>
      <c r="B10" s="104" t="s">
        <v>78</v>
      </c>
      <c r="C10" s="130">
        <v>0</v>
      </c>
      <c r="D10" s="19">
        <f t="shared" si="0"/>
        <v>4</v>
      </c>
      <c r="E10" s="138"/>
      <c r="F10" s="138"/>
      <c r="G10" s="138">
        <v>3</v>
      </c>
      <c r="H10" s="139"/>
      <c r="I10" s="138"/>
      <c r="J10" s="139"/>
      <c r="K10" s="138"/>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c r="FA10" s="74"/>
      <c r="FB10" s="74"/>
      <c r="FC10" s="74"/>
      <c r="FD10" s="74"/>
    </row>
    <row r="11" spans="1:160" s="37" customFormat="1" ht="12.6" thickBot="1" x14ac:dyDescent="0.25">
      <c r="A11" s="105"/>
      <c r="B11" s="106" t="s">
        <v>45</v>
      </c>
      <c r="C11" s="140" t="str">
        <f>IF(SUM(C5:C10)=0,"-",SUM(C5:C10))</f>
        <v>-</v>
      </c>
      <c r="D11" s="141">
        <f>IF(SUM(D5:D10)=0,"-",SUM(D5:D10))</f>
        <v>24</v>
      </c>
      <c r="E11" s="138">
        <f>IF(C11="-",0,C11)</f>
        <v>0</v>
      </c>
      <c r="F11" s="138">
        <f>IF(D11="-",0,D11)</f>
        <v>24</v>
      </c>
      <c r="G11" s="138">
        <v>4</v>
      </c>
      <c r="H11" s="139"/>
      <c r="I11" s="138"/>
      <c r="J11" s="139"/>
      <c r="K11" s="138"/>
      <c r="L11" s="74"/>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row>
    <row r="12" spans="1:160" s="37" customFormat="1" ht="16.5" customHeight="1" x14ac:dyDescent="0.2">
      <c r="A12" s="70">
        <v>2</v>
      </c>
      <c r="B12" s="71" t="s">
        <v>79</v>
      </c>
      <c r="C12" s="56"/>
      <c r="D12" s="102"/>
      <c r="E12" s="138"/>
      <c r="F12" s="138"/>
      <c r="G12" s="144"/>
      <c r="H12" s="144"/>
      <c r="I12" s="139"/>
      <c r="J12" s="138"/>
      <c r="K12" s="177"/>
      <c r="L12" s="74"/>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row>
    <row r="13" spans="1:160" s="37" customFormat="1" ht="11.4" x14ac:dyDescent="0.2">
      <c r="A13" s="103" t="s">
        <v>14</v>
      </c>
      <c r="B13" s="104" t="s">
        <v>80</v>
      </c>
      <c r="C13" s="130">
        <v>0</v>
      </c>
      <c r="D13" s="19">
        <f t="shared" ref="D13:D14" si="1">IF(C13="","",IF(C13="Not applicable","-",4))</f>
        <v>4</v>
      </c>
      <c r="E13" s="138"/>
      <c r="F13" s="138"/>
      <c r="G13" s="138"/>
      <c r="H13" s="139"/>
      <c r="I13" s="138"/>
      <c r="J13" s="139"/>
      <c r="K13" s="138"/>
      <c r="L13" s="74"/>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row>
    <row r="14" spans="1:160" s="37" customFormat="1" ht="11.4" x14ac:dyDescent="0.2">
      <c r="A14" s="103" t="s">
        <v>13</v>
      </c>
      <c r="B14" s="104" t="s">
        <v>81</v>
      </c>
      <c r="C14" s="130" t="s">
        <v>128</v>
      </c>
      <c r="D14" s="19" t="str">
        <f t="shared" si="1"/>
        <v>-</v>
      </c>
      <c r="E14" s="138"/>
      <c r="F14" s="138"/>
      <c r="G14" s="138"/>
      <c r="H14" s="139"/>
      <c r="I14" s="138"/>
      <c r="J14" s="139"/>
      <c r="K14" s="138"/>
      <c r="L14" s="74"/>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row>
    <row r="15" spans="1:160" s="37" customFormat="1" ht="12.6" thickBot="1" x14ac:dyDescent="0.25">
      <c r="A15" s="108"/>
      <c r="B15" s="106" t="s">
        <v>29</v>
      </c>
      <c r="C15" s="140" t="str">
        <f>IF(SUM(C13:C14)=0,"-",SUM(C13:C14))</f>
        <v>-</v>
      </c>
      <c r="D15" s="141">
        <f>IF(SUM(D13:D14)=0,"-",SUM(D13:D14))</f>
        <v>4</v>
      </c>
      <c r="E15" s="138">
        <f>IF(C15="-",0,C15)</f>
        <v>0</v>
      </c>
      <c r="F15" s="138">
        <f>IF(D15="-",0,D15)</f>
        <v>4</v>
      </c>
      <c r="G15" s="138"/>
      <c r="H15" s="139"/>
      <c r="I15" s="138"/>
      <c r="J15" s="139"/>
      <c r="K15" s="138"/>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row>
    <row r="16" spans="1:160" s="37" customFormat="1" ht="16.5" customHeight="1" x14ac:dyDescent="0.2">
      <c r="A16" s="70">
        <v>3</v>
      </c>
      <c r="B16" s="71" t="s">
        <v>82</v>
      </c>
      <c r="C16" s="56"/>
      <c r="D16" s="102"/>
      <c r="E16" s="138"/>
      <c r="F16" s="138"/>
      <c r="G16" s="144"/>
      <c r="H16" s="144"/>
      <c r="I16" s="139"/>
      <c r="J16" s="138"/>
      <c r="K16" s="177"/>
      <c r="L16" s="74"/>
      <c r="M16" s="74"/>
      <c r="N16" s="74"/>
      <c r="O16" s="74"/>
      <c r="P16" s="74"/>
      <c r="Q16" s="74"/>
      <c r="R16" s="74"/>
      <c r="S16" s="74"/>
      <c r="T16" s="74"/>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row>
    <row r="17" spans="1:160" s="37" customFormat="1" ht="11.4" x14ac:dyDescent="0.2">
      <c r="A17" s="103" t="s">
        <v>14</v>
      </c>
      <c r="B17" s="109" t="s">
        <v>83</v>
      </c>
      <c r="C17" s="130">
        <v>0</v>
      </c>
      <c r="D17" s="19">
        <f t="shared" ref="D17:D20" si="2">IF(C17="","",IF(C17="Not applicable","-",4))</f>
        <v>4</v>
      </c>
      <c r="E17" s="138"/>
      <c r="F17" s="138"/>
      <c r="G17" s="138"/>
      <c r="H17" s="139"/>
      <c r="I17" s="138"/>
      <c r="J17" s="139"/>
      <c r="K17" s="138"/>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c r="EZ17" s="74"/>
      <c r="FA17" s="74"/>
      <c r="FB17" s="74"/>
      <c r="FC17" s="74"/>
      <c r="FD17" s="74"/>
    </row>
    <row r="18" spans="1:160" s="37" customFormat="1" ht="11.4" x14ac:dyDescent="0.2">
      <c r="A18" s="103" t="s">
        <v>13</v>
      </c>
      <c r="B18" s="104" t="s">
        <v>84</v>
      </c>
      <c r="C18" s="130">
        <v>0</v>
      </c>
      <c r="D18" s="19">
        <f t="shared" si="2"/>
        <v>4</v>
      </c>
      <c r="E18" s="138"/>
      <c r="F18" s="138"/>
      <c r="G18" s="138"/>
      <c r="H18" s="139"/>
      <c r="I18" s="138"/>
      <c r="J18" s="139"/>
      <c r="K18" s="138"/>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c r="EZ18" s="74"/>
      <c r="FA18" s="74"/>
      <c r="FB18" s="74"/>
      <c r="FC18" s="74"/>
      <c r="FD18" s="74"/>
    </row>
    <row r="19" spans="1:160" s="37" customFormat="1" ht="11.4" x14ac:dyDescent="0.2">
      <c r="A19" s="103" t="s">
        <v>27</v>
      </c>
      <c r="B19" s="104" t="s">
        <v>85</v>
      </c>
      <c r="C19" s="130">
        <v>0</v>
      </c>
      <c r="D19" s="19">
        <f t="shared" si="2"/>
        <v>4</v>
      </c>
      <c r="E19" s="138"/>
      <c r="F19" s="138"/>
      <c r="G19" s="138"/>
      <c r="H19" s="139"/>
      <c r="I19" s="138"/>
      <c r="J19" s="139"/>
      <c r="K19" s="138"/>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c r="FA19" s="74"/>
      <c r="FB19" s="74"/>
      <c r="FC19" s="74"/>
      <c r="FD19" s="74"/>
    </row>
    <row r="20" spans="1:160" s="37" customFormat="1" ht="11.4" x14ac:dyDescent="0.2">
      <c r="A20" s="103" t="s">
        <v>12</v>
      </c>
      <c r="B20" s="104" t="s">
        <v>86</v>
      </c>
      <c r="C20" s="130">
        <v>0</v>
      </c>
      <c r="D20" s="19">
        <f t="shared" si="2"/>
        <v>4</v>
      </c>
      <c r="E20" s="138"/>
      <c r="F20" s="138"/>
      <c r="G20" s="138"/>
      <c r="H20" s="139"/>
      <c r="I20" s="138"/>
      <c r="J20" s="139"/>
      <c r="K20" s="138"/>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row>
    <row r="21" spans="1:160" s="37" customFormat="1" ht="12.6" thickBot="1" x14ac:dyDescent="0.25">
      <c r="A21" s="108"/>
      <c r="B21" s="106" t="s">
        <v>39</v>
      </c>
      <c r="C21" s="140" t="str">
        <f>IF(SUM(C17:C20)=0,"-",SUM(C17:C20))</f>
        <v>-</v>
      </c>
      <c r="D21" s="141">
        <f>IF(SUM(D17:D20)=0,"-",SUM(D17:D20))</f>
        <v>16</v>
      </c>
      <c r="E21" s="138">
        <f>IF(C21="-",0,C21)</f>
        <v>0</v>
      </c>
      <c r="F21" s="138">
        <f>IF(D21="-",0,D21)</f>
        <v>16</v>
      </c>
      <c r="G21" s="138"/>
      <c r="H21" s="139"/>
      <c r="I21" s="138"/>
      <c r="J21" s="139"/>
      <c r="K21" s="138"/>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row>
    <row r="22" spans="1:160" s="37" customFormat="1" ht="16.5" customHeight="1" x14ac:dyDescent="0.2">
      <c r="A22" s="70">
        <v>4</v>
      </c>
      <c r="B22" s="71" t="s">
        <v>87</v>
      </c>
      <c r="C22" s="56"/>
      <c r="D22" s="102"/>
      <c r="E22" s="138"/>
      <c r="F22" s="138"/>
      <c r="G22" s="144"/>
      <c r="H22" s="144"/>
      <c r="I22" s="139"/>
      <c r="J22" s="138"/>
      <c r="K22" s="177"/>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row>
    <row r="23" spans="1:160" s="37" customFormat="1" ht="11.4" x14ac:dyDescent="0.2">
      <c r="A23" s="103" t="s">
        <v>14</v>
      </c>
      <c r="B23" s="104" t="s">
        <v>88</v>
      </c>
      <c r="C23" s="130">
        <v>0</v>
      </c>
      <c r="D23" s="19">
        <f t="shared" ref="D23:D28" si="3">IF(C23="","",IF(C23="Not applicable","-",4))</f>
        <v>4</v>
      </c>
      <c r="E23" s="138"/>
      <c r="F23" s="138"/>
      <c r="G23" s="138"/>
      <c r="H23" s="139"/>
      <c r="I23" s="138"/>
      <c r="J23" s="139"/>
      <c r="K23" s="138"/>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row>
    <row r="24" spans="1:160" s="37" customFormat="1" ht="11.4" x14ac:dyDescent="0.2">
      <c r="A24" s="103" t="s">
        <v>13</v>
      </c>
      <c r="B24" s="104" t="s">
        <v>89</v>
      </c>
      <c r="C24" s="130">
        <v>0</v>
      </c>
      <c r="D24" s="19">
        <f t="shared" si="3"/>
        <v>4</v>
      </c>
      <c r="E24" s="138"/>
      <c r="F24" s="138"/>
      <c r="G24" s="138"/>
      <c r="H24" s="139"/>
      <c r="I24" s="138"/>
      <c r="J24" s="139"/>
      <c r="K24" s="138"/>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c r="EZ24" s="74"/>
      <c r="FA24" s="74"/>
      <c r="FB24" s="74"/>
      <c r="FC24" s="74"/>
      <c r="FD24" s="74"/>
    </row>
    <row r="25" spans="1:160" s="37" customFormat="1" ht="11.4" x14ac:dyDescent="0.2">
      <c r="A25" s="103" t="s">
        <v>27</v>
      </c>
      <c r="B25" s="104" t="s">
        <v>90</v>
      </c>
      <c r="C25" s="130">
        <v>0</v>
      </c>
      <c r="D25" s="19">
        <f t="shared" si="3"/>
        <v>4</v>
      </c>
      <c r="E25" s="138"/>
      <c r="F25" s="138"/>
      <c r="G25" s="138"/>
      <c r="H25" s="139"/>
      <c r="I25" s="138"/>
      <c r="J25" s="139"/>
      <c r="K25" s="138"/>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c r="EZ25" s="74"/>
      <c r="FA25" s="74"/>
      <c r="FB25" s="74"/>
      <c r="FC25" s="74"/>
      <c r="FD25" s="74"/>
    </row>
    <row r="26" spans="1:160" s="37" customFormat="1" ht="11.4" x14ac:dyDescent="0.2">
      <c r="A26" s="103" t="s">
        <v>12</v>
      </c>
      <c r="B26" s="104" t="s">
        <v>91</v>
      </c>
      <c r="C26" s="130">
        <v>0</v>
      </c>
      <c r="D26" s="19">
        <f t="shared" si="3"/>
        <v>4</v>
      </c>
      <c r="E26" s="138"/>
      <c r="F26" s="138"/>
      <c r="G26" s="138"/>
      <c r="H26" s="139"/>
      <c r="I26" s="138"/>
      <c r="J26" s="139"/>
      <c r="K26" s="138"/>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c r="EZ26" s="74"/>
      <c r="FA26" s="74"/>
      <c r="FB26" s="74"/>
      <c r="FC26" s="74"/>
      <c r="FD26" s="74"/>
    </row>
    <row r="27" spans="1:160" s="37" customFormat="1" ht="11.4" x14ac:dyDescent="0.2">
      <c r="A27" s="103" t="s">
        <v>37</v>
      </c>
      <c r="B27" s="104" t="s">
        <v>92</v>
      </c>
      <c r="C27" s="130">
        <v>0</v>
      </c>
      <c r="D27" s="19">
        <f t="shared" si="3"/>
        <v>4</v>
      </c>
      <c r="E27" s="138"/>
      <c r="F27" s="138"/>
      <c r="G27" s="138"/>
      <c r="H27" s="139"/>
      <c r="I27" s="138"/>
      <c r="J27" s="139"/>
      <c r="K27" s="138"/>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c r="EE27" s="64"/>
      <c r="EF27" s="64"/>
      <c r="EG27" s="64"/>
      <c r="EH27" s="64"/>
      <c r="EI27" s="64"/>
      <c r="EJ27" s="64"/>
      <c r="EK27" s="64"/>
      <c r="EL27" s="64"/>
      <c r="EM27" s="64"/>
      <c r="EN27" s="64"/>
      <c r="EO27" s="64"/>
      <c r="EP27" s="64"/>
      <c r="EQ27" s="64"/>
      <c r="ER27" s="64"/>
      <c r="ES27" s="64"/>
      <c r="ET27" s="64"/>
      <c r="EU27" s="64"/>
      <c r="EV27" s="64"/>
      <c r="EW27" s="64"/>
      <c r="EX27" s="64"/>
      <c r="EY27" s="64"/>
      <c r="EZ27" s="64"/>
      <c r="FA27" s="64"/>
      <c r="FB27" s="64"/>
      <c r="FC27" s="64"/>
      <c r="FD27" s="64"/>
    </row>
    <row r="28" spans="1:160" s="37" customFormat="1" ht="11.4" x14ac:dyDescent="0.2">
      <c r="A28" s="103" t="s">
        <v>44</v>
      </c>
      <c r="B28" s="104" t="s">
        <v>46</v>
      </c>
      <c r="C28" s="130">
        <v>0</v>
      </c>
      <c r="D28" s="19">
        <f t="shared" si="3"/>
        <v>4</v>
      </c>
      <c r="E28" s="138"/>
      <c r="F28" s="138"/>
      <c r="G28" s="138"/>
      <c r="H28" s="139"/>
      <c r="I28" s="138"/>
      <c r="J28" s="139"/>
      <c r="K28" s="138"/>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row>
    <row r="29" spans="1:160" s="37" customFormat="1" ht="12.6" thickBot="1" x14ac:dyDescent="0.25">
      <c r="A29" s="108"/>
      <c r="B29" s="106" t="s">
        <v>40</v>
      </c>
      <c r="C29" s="140" t="str">
        <f>IF(SUM(C23:C28)=0,"-",SUM(C23:C28))</f>
        <v>-</v>
      </c>
      <c r="D29" s="141">
        <f>IF(SUM(D23:D28)=0,"-",SUM(D23:D28))</f>
        <v>24</v>
      </c>
      <c r="E29" s="138">
        <f>IF(C29="-",0,C29)</f>
        <v>0</v>
      </c>
      <c r="F29" s="138">
        <f>IF(D29="-",0,D29)</f>
        <v>24</v>
      </c>
      <c r="G29" s="138"/>
      <c r="H29" s="139"/>
      <c r="I29" s="138"/>
      <c r="J29" s="139"/>
      <c r="K29" s="138"/>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4"/>
      <c r="DB29" s="74"/>
      <c r="DC29" s="74"/>
      <c r="DD29" s="74"/>
      <c r="DE29" s="74"/>
      <c r="DF29" s="74"/>
      <c r="DG29" s="74"/>
      <c r="DH29" s="74"/>
      <c r="DI29" s="74"/>
      <c r="DJ29" s="74"/>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c r="EZ29" s="74"/>
      <c r="FA29" s="74"/>
      <c r="FB29" s="74"/>
      <c r="FC29" s="74"/>
      <c r="FD29" s="74"/>
    </row>
    <row r="30" spans="1:160" s="37" customFormat="1" ht="16.5" customHeight="1" x14ac:dyDescent="0.2">
      <c r="A30" s="110">
        <v>5</v>
      </c>
      <c r="B30" s="71" t="s">
        <v>93</v>
      </c>
      <c r="C30" s="56"/>
      <c r="D30" s="102"/>
      <c r="E30" s="138"/>
      <c r="F30" s="138"/>
      <c r="G30" s="144"/>
      <c r="H30" s="144"/>
      <c r="I30" s="139"/>
      <c r="J30" s="138"/>
      <c r="K30" s="177"/>
      <c r="L30" s="74"/>
      <c r="M30" s="74"/>
      <c r="N30" s="74"/>
      <c r="O30" s="74"/>
      <c r="P30" s="74"/>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c r="EA30" s="74"/>
      <c r="EB30" s="74"/>
      <c r="EC30" s="74"/>
      <c r="ED30" s="74"/>
      <c r="EE30" s="74"/>
      <c r="EF30" s="74"/>
      <c r="EG30" s="74"/>
      <c r="EH30" s="74"/>
      <c r="EI30" s="74"/>
      <c r="EJ30" s="74"/>
      <c r="EK30" s="74"/>
      <c r="EL30" s="74"/>
      <c r="EM30" s="74"/>
      <c r="EN30" s="74"/>
      <c r="EO30" s="74"/>
      <c r="EP30" s="74"/>
      <c r="EQ30" s="74"/>
      <c r="ER30" s="74"/>
      <c r="ES30" s="74"/>
      <c r="ET30" s="74"/>
      <c r="EU30" s="74"/>
      <c r="EV30" s="74"/>
      <c r="EW30" s="74"/>
      <c r="EX30" s="74"/>
      <c r="EY30" s="74"/>
    </row>
    <row r="31" spans="1:160" s="37" customFormat="1" ht="11.4" x14ac:dyDescent="0.2">
      <c r="A31" s="103" t="s">
        <v>14</v>
      </c>
      <c r="B31" s="104" t="s">
        <v>94</v>
      </c>
      <c r="C31" s="130">
        <v>0</v>
      </c>
      <c r="D31" s="19">
        <f t="shared" ref="D31:D33" si="4">IF(C31="","",IF(C31="Not applicable","-",4))</f>
        <v>4</v>
      </c>
      <c r="E31" s="138"/>
      <c r="F31" s="138"/>
      <c r="G31" s="138"/>
      <c r="H31" s="139"/>
      <c r="I31" s="138"/>
      <c r="J31" s="139"/>
      <c r="K31" s="138"/>
      <c r="L31" s="74"/>
      <c r="M31" s="74"/>
      <c r="N31" s="74"/>
      <c r="O31" s="74"/>
      <c r="P31" s="74"/>
      <c r="Q31" s="74"/>
      <c r="R31" s="74"/>
      <c r="S31" s="74"/>
      <c r="T31" s="74"/>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c r="DK31" s="74"/>
      <c r="DL31" s="74"/>
      <c r="DM31" s="74"/>
      <c r="DN31" s="74"/>
      <c r="DO31" s="74"/>
      <c r="DP31" s="74"/>
      <c r="DQ31" s="74"/>
      <c r="DR31" s="74"/>
      <c r="DS31" s="74"/>
      <c r="DT31" s="74"/>
      <c r="DU31" s="74"/>
      <c r="DV31" s="74"/>
      <c r="DW31" s="74"/>
      <c r="DX31" s="74"/>
      <c r="DY31" s="74"/>
      <c r="DZ31" s="74"/>
      <c r="EA31" s="74"/>
      <c r="EB31" s="74"/>
      <c r="EC31" s="74"/>
      <c r="ED31" s="74"/>
      <c r="EE31" s="74"/>
      <c r="EF31" s="74"/>
      <c r="EG31" s="74"/>
      <c r="EH31" s="74"/>
      <c r="EI31" s="74"/>
      <c r="EJ31" s="74"/>
      <c r="EK31" s="74"/>
      <c r="EL31" s="74"/>
      <c r="EM31" s="74"/>
      <c r="EN31" s="74"/>
      <c r="EO31" s="74"/>
      <c r="EP31" s="74"/>
      <c r="EQ31" s="74"/>
      <c r="ER31" s="74"/>
      <c r="ES31" s="74"/>
      <c r="ET31" s="74"/>
      <c r="EU31" s="74"/>
      <c r="EV31" s="74"/>
      <c r="EW31" s="74"/>
      <c r="EX31" s="74"/>
      <c r="EY31" s="74"/>
      <c r="EZ31" s="74"/>
      <c r="FA31" s="74"/>
      <c r="FB31" s="74"/>
      <c r="FC31" s="74"/>
      <c r="FD31" s="74"/>
    </row>
    <row r="32" spans="1:160" s="37" customFormat="1" ht="11.4" x14ac:dyDescent="0.2">
      <c r="A32" s="103" t="s">
        <v>13</v>
      </c>
      <c r="B32" s="104" t="s">
        <v>95</v>
      </c>
      <c r="C32" s="130">
        <v>0</v>
      </c>
      <c r="D32" s="19">
        <f t="shared" si="4"/>
        <v>4</v>
      </c>
      <c r="E32" s="138"/>
      <c r="F32" s="138"/>
      <c r="G32" s="138"/>
      <c r="H32" s="139"/>
      <c r="I32" s="138"/>
      <c r="J32" s="139"/>
      <c r="K32" s="138"/>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c r="DK32" s="74"/>
      <c r="DL32" s="74"/>
      <c r="DM32" s="74"/>
      <c r="DN32" s="74"/>
      <c r="DO32" s="74"/>
      <c r="DP32" s="74"/>
      <c r="DQ32" s="74"/>
      <c r="DR32" s="74"/>
      <c r="DS32" s="74"/>
      <c r="DT32" s="74"/>
      <c r="DU32" s="74"/>
      <c r="DV32" s="74"/>
      <c r="DW32" s="74"/>
      <c r="DX32" s="74"/>
      <c r="DY32" s="74"/>
      <c r="DZ32" s="74"/>
      <c r="EA32" s="74"/>
      <c r="EB32" s="74"/>
      <c r="EC32" s="74"/>
      <c r="ED32" s="74"/>
      <c r="EE32" s="74"/>
      <c r="EF32" s="74"/>
      <c r="EG32" s="74"/>
      <c r="EH32" s="74"/>
      <c r="EI32" s="74"/>
      <c r="EJ32" s="74"/>
      <c r="EK32" s="74"/>
      <c r="EL32" s="74"/>
      <c r="EM32" s="74"/>
      <c r="EN32" s="74"/>
      <c r="EO32" s="74"/>
      <c r="EP32" s="74"/>
      <c r="EQ32" s="74"/>
      <c r="ER32" s="74"/>
      <c r="ES32" s="74"/>
      <c r="ET32" s="74"/>
      <c r="EU32" s="74"/>
      <c r="EV32" s="74"/>
      <c r="EW32" s="74"/>
      <c r="EX32" s="74"/>
      <c r="EY32" s="74"/>
      <c r="EZ32" s="74"/>
      <c r="FA32" s="74"/>
      <c r="FB32" s="74"/>
      <c r="FC32" s="74"/>
      <c r="FD32" s="74"/>
    </row>
    <row r="33" spans="1:160" s="37" customFormat="1" ht="11.4" x14ac:dyDescent="0.2">
      <c r="A33" s="103" t="s">
        <v>27</v>
      </c>
      <c r="B33" s="104" t="s">
        <v>96</v>
      </c>
      <c r="C33" s="130">
        <v>0</v>
      </c>
      <c r="D33" s="19">
        <f t="shared" si="4"/>
        <v>4</v>
      </c>
      <c r="E33" s="138"/>
      <c r="F33" s="138"/>
      <c r="G33" s="138"/>
      <c r="H33" s="139"/>
      <c r="I33" s="138"/>
      <c r="J33" s="139"/>
      <c r="K33" s="138"/>
      <c r="L33" s="74"/>
      <c r="M33" s="74"/>
      <c r="N33" s="74"/>
      <c r="O33" s="74"/>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c r="DK33" s="74"/>
      <c r="DL33" s="74"/>
      <c r="DM33" s="74"/>
      <c r="DN33" s="74"/>
      <c r="DO33" s="74"/>
      <c r="DP33" s="74"/>
      <c r="DQ33" s="74"/>
      <c r="DR33" s="74"/>
      <c r="DS33" s="74"/>
      <c r="DT33" s="74"/>
      <c r="DU33" s="74"/>
      <c r="DV33" s="74"/>
      <c r="DW33" s="74"/>
      <c r="DX33" s="74"/>
      <c r="DY33" s="74"/>
      <c r="DZ33" s="74"/>
      <c r="EA33" s="74"/>
      <c r="EB33" s="74"/>
      <c r="EC33" s="74"/>
      <c r="ED33" s="74"/>
      <c r="EE33" s="74"/>
      <c r="EF33" s="74"/>
      <c r="EG33" s="74"/>
      <c r="EH33" s="74"/>
      <c r="EI33" s="74"/>
      <c r="EJ33" s="74"/>
      <c r="EK33" s="74"/>
      <c r="EL33" s="74"/>
      <c r="EM33" s="74"/>
      <c r="EN33" s="74"/>
      <c r="EO33" s="74"/>
      <c r="EP33" s="74"/>
      <c r="EQ33" s="74"/>
      <c r="ER33" s="74"/>
      <c r="ES33" s="74"/>
      <c r="ET33" s="74"/>
      <c r="EU33" s="74"/>
      <c r="EV33" s="74"/>
      <c r="EW33" s="74"/>
      <c r="EX33" s="74"/>
      <c r="EY33" s="74"/>
      <c r="EZ33" s="74"/>
      <c r="FA33" s="74"/>
      <c r="FB33" s="74"/>
      <c r="FC33" s="74"/>
      <c r="FD33" s="74"/>
    </row>
    <row r="34" spans="1:160" s="37" customFormat="1" ht="12.6" thickBot="1" x14ac:dyDescent="0.25">
      <c r="A34" s="167"/>
      <c r="B34" s="168" t="s">
        <v>47</v>
      </c>
      <c r="C34" s="169" t="str">
        <f>IF(SUM(C31:C33)=0,"-",SUM(C31:C33))</f>
        <v>-</v>
      </c>
      <c r="D34" s="170">
        <f>IF(SUM(D31:D33)=0,"-",SUM(D31:D33))</f>
        <v>12</v>
      </c>
      <c r="E34" s="138">
        <f>IF(C34="-",0,C34)</f>
        <v>0</v>
      </c>
      <c r="F34" s="138">
        <f>IF(D34="-",0,D34)</f>
        <v>12</v>
      </c>
      <c r="G34" s="138"/>
      <c r="H34" s="139"/>
      <c r="I34" s="138"/>
      <c r="J34" s="139"/>
      <c r="K34" s="138"/>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c r="DK34" s="74"/>
      <c r="DL34" s="74"/>
      <c r="DM34" s="74"/>
      <c r="DN34" s="74"/>
      <c r="DO34" s="74"/>
      <c r="DP34" s="74"/>
      <c r="DQ34" s="74"/>
      <c r="DR34" s="74"/>
      <c r="DS34" s="74"/>
      <c r="DT34" s="74"/>
      <c r="DU34" s="74"/>
      <c r="DV34" s="74"/>
      <c r="DW34" s="74"/>
      <c r="DX34" s="74"/>
      <c r="DY34" s="74"/>
      <c r="DZ34" s="74"/>
      <c r="EA34" s="74"/>
      <c r="EB34" s="74"/>
      <c r="EC34" s="74"/>
      <c r="ED34" s="74"/>
      <c r="EE34" s="74"/>
      <c r="EF34" s="74"/>
      <c r="EG34" s="74"/>
      <c r="EH34" s="74"/>
      <c r="EI34" s="74"/>
      <c r="EJ34" s="74"/>
      <c r="EK34" s="74"/>
      <c r="EL34" s="74"/>
      <c r="EM34" s="74"/>
      <c r="EN34" s="74"/>
      <c r="EO34" s="74"/>
      <c r="EP34" s="74"/>
      <c r="EQ34" s="74"/>
      <c r="ER34" s="74"/>
      <c r="ES34" s="74"/>
      <c r="ET34" s="74"/>
      <c r="EU34" s="74"/>
      <c r="EV34" s="74"/>
      <c r="EW34" s="74"/>
      <c r="EX34" s="74"/>
      <c r="EY34" s="74"/>
      <c r="EZ34" s="74"/>
      <c r="FA34" s="74"/>
      <c r="FB34" s="74"/>
      <c r="FC34" s="74"/>
      <c r="FD34" s="74"/>
    </row>
    <row r="35" spans="1:160" s="37" customFormat="1" ht="12.6" thickBot="1" x14ac:dyDescent="0.25">
      <c r="A35" s="171"/>
      <c r="B35" s="172" t="s">
        <v>121</v>
      </c>
      <c r="C35" s="173" t="str">
        <f>IF(E35=0,"-",E35)</f>
        <v>-</v>
      </c>
      <c r="D35" s="174">
        <f>IF(F35=0,"-",F35)</f>
        <v>80</v>
      </c>
      <c r="E35" s="138">
        <f>SUM(E11:E34)</f>
        <v>0</v>
      </c>
      <c r="F35" s="138">
        <f>SUM(F11:F34)</f>
        <v>80</v>
      </c>
      <c r="G35" s="138"/>
      <c r="H35" s="139"/>
      <c r="I35" s="138"/>
      <c r="J35" s="138" t="s">
        <v>124</v>
      </c>
      <c r="K35" s="138"/>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c r="DK35" s="74"/>
      <c r="DL35" s="74"/>
      <c r="DM35" s="74"/>
      <c r="DN35" s="74"/>
      <c r="DO35" s="74"/>
      <c r="DP35" s="74"/>
      <c r="DQ35" s="74"/>
      <c r="DR35" s="74"/>
      <c r="DS35" s="74"/>
      <c r="DT35" s="74"/>
      <c r="DU35" s="74"/>
      <c r="DV35" s="74"/>
      <c r="DW35" s="74"/>
      <c r="DX35" s="74"/>
      <c r="DY35" s="74"/>
      <c r="DZ35" s="74"/>
      <c r="EA35" s="74"/>
      <c r="EB35" s="74"/>
      <c r="EC35" s="74"/>
      <c r="ED35" s="74"/>
      <c r="EE35" s="74"/>
      <c r="EF35" s="74"/>
      <c r="EG35" s="74"/>
      <c r="EH35" s="74"/>
      <c r="EI35" s="74"/>
      <c r="EJ35" s="74"/>
      <c r="EK35" s="74"/>
      <c r="EL35" s="74"/>
      <c r="EM35" s="74"/>
      <c r="EN35" s="74"/>
      <c r="EO35" s="74"/>
      <c r="EP35" s="74"/>
      <c r="EQ35" s="74"/>
      <c r="ER35" s="74"/>
      <c r="ES35" s="74"/>
      <c r="ET35" s="74"/>
      <c r="EU35" s="74"/>
      <c r="EV35" s="74"/>
      <c r="EW35" s="74"/>
      <c r="EX35" s="74"/>
      <c r="EY35" s="74"/>
      <c r="EZ35" s="74"/>
      <c r="FA35" s="74"/>
      <c r="FB35" s="74"/>
      <c r="FC35" s="74"/>
      <c r="FD35" s="74"/>
    </row>
    <row r="36" spans="1:160" ht="24" x14ac:dyDescent="0.3">
      <c r="A36" s="165">
        <v>5</v>
      </c>
      <c r="B36" s="161" t="s">
        <v>122</v>
      </c>
      <c r="C36" s="162"/>
      <c r="D36" s="163"/>
      <c r="J36" s="144"/>
      <c r="K36" s="184"/>
      <c r="M36" s="148"/>
    </row>
    <row r="37" spans="1:160" ht="15" thickBot="1" x14ac:dyDescent="0.35">
      <c r="A37" s="164" t="s">
        <v>14</v>
      </c>
      <c r="B37" s="175" t="s">
        <v>126</v>
      </c>
      <c r="C37" s="542" t="str">
        <f>IFERROR(VLOOKUP(B37,$J$36:$K$40,2,0),"")</f>
        <v>-</v>
      </c>
      <c r="D37" s="543"/>
      <c r="J37" s="138" t="s">
        <v>128</v>
      </c>
      <c r="K37" s="185" t="s">
        <v>130</v>
      </c>
      <c r="M37" s="148"/>
    </row>
    <row r="38" spans="1:160" s="37" customFormat="1" ht="12.6" thickBot="1" x14ac:dyDescent="0.25">
      <c r="A38" s="171"/>
      <c r="B38" s="172" t="s">
        <v>123</v>
      </c>
      <c r="C38" s="176" t="str">
        <f>IF(OR(B37="Not applicable",B37="",B37="Data not available"),C35,C37)</f>
        <v>-</v>
      </c>
      <c r="D38" s="174">
        <f>D35</f>
        <v>80</v>
      </c>
      <c r="E38" s="138"/>
      <c r="F38" s="138"/>
      <c r="G38" s="138"/>
      <c r="H38" s="139"/>
      <c r="I38" s="138"/>
      <c r="J38" s="138" t="s">
        <v>125</v>
      </c>
      <c r="K38" s="138" t="e">
        <f>IF(C35*1.2&gt;D35,D35,C35*1.2)</f>
        <v>#VALUE!</v>
      </c>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c r="DK38" s="74"/>
      <c r="DL38" s="74"/>
      <c r="DM38" s="74"/>
      <c r="DN38" s="74"/>
      <c r="DO38" s="74"/>
      <c r="DP38" s="74"/>
      <c r="DQ38" s="74"/>
      <c r="DR38" s="74"/>
      <c r="DS38" s="74"/>
      <c r="DT38" s="74"/>
      <c r="DU38" s="74"/>
      <c r="DV38" s="74"/>
      <c r="DW38" s="74"/>
      <c r="DX38" s="74"/>
      <c r="DY38" s="74"/>
      <c r="DZ38" s="74"/>
      <c r="EA38" s="74"/>
      <c r="EB38" s="74"/>
      <c r="EC38" s="74"/>
      <c r="ED38" s="74"/>
      <c r="EE38" s="74"/>
      <c r="EF38" s="74"/>
      <c r="EG38" s="74"/>
      <c r="EH38" s="74"/>
      <c r="EI38" s="74"/>
      <c r="EJ38" s="74"/>
      <c r="EK38" s="74"/>
      <c r="EL38" s="74"/>
      <c r="EM38" s="74"/>
      <c r="EN38" s="74"/>
      <c r="EO38" s="74"/>
      <c r="EP38" s="74"/>
      <c r="EQ38" s="74"/>
      <c r="ER38" s="74"/>
      <c r="ES38" s="74"/>
      <c r="ET38" s="74"/>
      <c r="EU38" s="74"/>
      <c r="EV38" s="74"/>
      <c r="EW38" s="74"/>
      <c r="EX38" s="74"/>
      <c r="EY38" s="74"/>
      <c r="EZ38" s="74"/>
      <c r="FA38" s="74"/>
      <c r="FB38" s="74"/>
      <c r="FC38" s="74"/>
      <c r="FD38" s="74"/>
    </row>
    <row r="39" spans="1:160" x14ac:dyDescent="0.3">
      <c r="J39" s="139" t="s">
        <v>126</v>
      </c>
      <c r="K39" s="184" t="str">
        <f>C35</f>
        <v>-</v>
      </c>
      <c r="M39" s="148"/>
    </row>
    <row r="40" spans="1:160" x14ac:dyDescent="0.3">
      <c r="J40" s="138" t="s">
        <v>127</v>
      </c>
      <c r="K40" s="185" t="e">
        <f>C35*0.8</f>
        <v>#VALUE!</v>
      </c>
      <c r="M40" s="148"/>
    </row>
    <row r="41" spans="1:160" x14ac:dyDescent="0.3">
      <c r="I41" s="183"/>
      <c r="J41" s="183"/>
      <c r="K41" s="183"/>
      <c r="M41" s="148"/>
    </row>
    <row r="42" spans="1:160" x14ac:dyDescent="0.3">
      <c r="M42" s="148"/>
    </row>
    <row r="43" spans="1:160" x14ac:dyDescent="0.3">
      <c r="M43" s="148"/>
    </row>
    <row r="44" spans="1:160" x14ac:dyDescent="0.3">
      <c r="M44" s="148"/>
    </row>
    <row r="45" spans="1:160" x14ac:dyDescent="0.3">
      <c r="M45" s="148"/>
    </row>
  </sheetData>
  <sheetProtection password="C445" sheet="1" objects="1" scenarios="1" selectLockedCells="1"/>
  <mergeCells count="1">
    <mergeCell ref="C37:D37"/>
  </mergeCells>
  <dataValidations xWindow="110" yWindow="482" count="3">
    <dataValidation type="custom" allowBlank="1" showInputMessage="1" showErrorMessage="1" error="No data required in this cell" sqref="D12 D30 D22 D16" xr:uid="{00000000-0002-0000-0700-000000000000}">
      <formula1>ISBLANK(D12)=TRUE</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C13:C14 C31:C33 C17:C20 C23:C28 C5:C10" xr:uid="{00000000-0002-0000-0700-000001000000}">
      <formula1>$G$5:$G$11</formula1>
    </dataValidation>
    <dataValidation type="list" errorStyle="information" allowBlank="1" showInputMessage="1" showErrorMessage="1" error="Please select valid option if information is available from Head Office, else select Not applicable." promptTitle="Important" prompt="Please select valid option if information is available from Head Office, else select Not applicable." sqref="B37" xr:uid="{00000000-0002-0000-0700-000002000000}">
      <formula1>$J$36:$J$40</formula1>
    </dataValidation>
  </dataValidations>
  <pageMargins left="0.7" right="0.7" top="0.75" bottom="0.75" header="0.3" footer="0.3"/>
  <pageSetup paperSize="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FE23"/>
  <sheetViews>
    <sheetView showGridLines="0" topLeftCell="B1" workbookViewId="0">
      <selection activeCell="D14" sqref="D14"/>
    </sheetView>
  </sheetViews>
  <sheetFormatPr defaultColWidth="9.109375" defaultRowHeight="14.4" x14ac:dyDescent="0.3"/>
  <cols>
    <col min="1" max="1" width="9.109375" style="99"/>
    <col min="2" max="2" width="45.6640625" style="98" customWidth="1"/>
    <col min="3" max="3" width="19.5546875" style="98" customWidth="1"/>
    <col min="4" max="4" width="19.44140625" style="98" customWidth="1"/>
    <col min="5" max="5" width="20.33203125" style="98" bestFit="1" customWidth="1"/>
    <col min="6" max="10" width="9.109375" style="182"/>
    <col min="11" max="13" width="9.109375" style="148"/>
    <col min="14" max="16384" width="9.109375" style="98"/>
  </cols>
  <sheetData>
    <row r="1" spans="1:161" x14ac:dyDescent="0.3">
      <c r="A1" s="544" t="s">
        <v>113</v>
      </c>
      <c r="B1" s="544"/>
      <c r="C1" s="131"/>
      <c r="D1" s="545" t="s">
        <v>111</v>
      </c>
      <c r="E1" s="546" t="str">
        <f>IF('Financial strength'!C6="","",'Financial strength'!C6)</f>
        <v/>
      </c>
    </row>
    <row r="2" spans="1:161" x14ac:dyDescent="0.3">
      <c r="A2" s="544"/>
      <c r="B2" s="544"/>
      <c r="C2" s="131"/>
      <c r="D2" s="545"/>
      <c r="E2" s="546"/>
    </row>
    <row r="3" spans="1:161" ht="15" thickBot="1" x14ac:dyDescent="0.35"/>
    <row r="4" spans="1:161" s="37" customFormat="1" ht="24.6" thickBot="1" x14ac:dyDescent="0.25">
      <c r="A4" s="65" t="s">
        <v>107</v>
      </c>
      <c r="B4" s="113" t="s">
        <v>8</v>
      </c>
      <c r="C4" s="113" t="s">
        <v>117</v>
      </c>
      <c r="D4" s="67" t="s">
        <v>9</v>
      </c>
      <c r="E4" s="101" t="s">
        <v>109</v>
      </c>
      <c r="F4" s="138"/>
      <c r="G4" s="138"/>
      <c r="H4" s="138"/>
      <c r="I4" s="139"/>
      <c r="J4" s="138"/>
      <c r="K4" s="63"/>
      <c r="L4" s="56"/>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row>
    <row r="5" spans="1:161" s="37" customFormat="1" ht="19.5" customHeight="1" x14ac:dyDescent="0.2">
      <c r="A5" s="110" t="s">
        <v>49</v>
      </c>
      <c r="B5" s="114" t="s">
        <v>50</v>
      </c>
      <c r="C5" s="114"/>
      <c r="D5" s="62"/>
      <c r="E5" s="115"/>
      <c r="F5" s="138"/>
      <c r="G5" s="138"/>
      <c r="H5" s="144"/>
      <c r="I5" s="144"/>
      <c r="J5" s="139"/>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row>
    <row r="6" spans="1:161" s="37" customFormat="1" ht="17.25" customHeight="1" x14ac:dyDescent="0.2">
      <c r="A6" s="116">
        <v>1</v>
      </c>
      <c r="B6" s="114" t="s">
        <v>51</v>
      </c>
      <c r="C6" s="114"/>
      <c r="D6" s="62"/>
      <c r="E6" s="115"/>
      <c r="F6" s="138"/>
      <c r="G6" s="138"/>
      <c r="H6" s="144"/>
      <c r="I6" s="144"/>
      <c r="J6" s="139"/>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row>
    <row r="7" spans="1:161" s="37" customFormat="1" ht="11.4" x14ac:dyDescent="0.2">
      <c r="A7" s="103" t="s">
        <v>14</v>
      </c>
      <c r="B7" s="104" t="s">
        <v>52</v>
      </c>
      <c r="C7" s="438" t="str">
        <f>IF('Cover page'!N9="Not available","Data not available",IF('Income Statement'!N8="","Data not available",'Income Statement'!O8))</f>
        <v/>
      </c>
      <c r="D7" s="24" t="str">
        <f>IF(C7="","",IF(C7="Not applicable","-",IF(C7="Data not available",0,IF(C7&lt;75%,0,IF(C7&lt;80%,1,IF(C7&lt;90%,2,IF(C7&lt;=95%,3,IF(C7&gt;95%,4,0))))))))</f>
        <v/>
      </c>
      <c r="E7" s="19" t="str">
        <f>IF(C7="","",IF(C7="Not applicable","-",4))</f>
        <v/>
      </c>
      <c r="F7" s="138" t="str">
        <f>IF(D7="-",0,D7)</f>
        <v/>
      </c>
      <c r="G7" s="138" t="str">
        <f>IF(E7="-",0,E7)</f>
        <v/>
      </c>
      <c r="H7" s="138"/>
      <c r="I7" s="139"/>
      <c r="J7" s="138"/>
      <c r="K7" s="63"/>
      <c r="L7" s="56"/>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c r="FE7" s="74"/>
    </row>
    <row r="8" spans="1:161" s="37" customFormat="1" ht="11.4" x14ac:dyDescent="0.2">
      <c r="A8" s="103" t="s">
        <v>13</v>
      </c>
      <c r="B8" s="117" t="s">
        <v>53</v>
      </c>
      <c r="C8" s="438" t="str">
        <f>IF('Cover page'!N9="Not available","Data not available",IF('Income Statement'!N8="","Data not available",'Income Statement'!O25))</f>
        <v/>
      </c>
      <c r="D8" s="24" t="str">
        <f>IF(C8="","",IF(C8="Not applicable","-",IF(C8="Data not available",0,IF(C8&lt;75%,0,IF(C8&lt;80%,1,IF(C8&lt;90%,2,IF(C8&lt;=95%,3,IF(C8&gt;95%,4,0))))))))</f>
        <v/>
      </c>
      <c r="E8" s="19" t="str">
        <f>IF(C8="","",IF(C8="Not applicable","-",4))</f>
        <v/>
      </c>
      <c r="F8" s="138" t="str">
        <f>IF(D8="-",0,D8)</f>
        <v/>
      </c>
      <c r="G8" s="138" t="str">
        <f>IF(E8="-",0,E8)</f>
        <v/>
      </c>
      <c r="H8" s="138"/>
      <c r="I8" s="139"/>
      <c r="J8" s="138"/>
      <c r="K8" s="63"/>
      <c r="L8" s="56"/>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c r="FE8" s="74"/>
    </row>
    <row r="9" spans="1:161" s="37" customFormat="1" ht="12" x14ac:dyDescent="0.2">
      <c r="A9" s="111"/>
      <c r="B9" s="118" t="s">
        <v>45</v>
      </c>
      <c r="C9" s="118"/>
      <c r="D9" s="147" t="str">
        <f>IF(SUM(D7:D8)=0,"-",SUM(D7:D8))</f>
        <v>-</v>
      </c>
      <c r="E9" s="143" t="str">
        <f>IF(SUM(E7:E8)=0,"-",SUM(E7:E8))</f>
        <v>-</v>
      </c>
      <c r="F9" s="138">
        <f>SUM(F7:F8)</f>
        <v>0</v>
      </c>
      <c r="G9" s="138">
        <f>SUM(G7:G8)</f>
        <v>0</v>
      </c>
      <c r="H9" s="138"/>
      <c r="I9" s="139"/>
      <c r="J9" s="138"/>
      <c r="K9" s="63"/>
      <c r="L9" s="56"/>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c r="FE9" s="74"/>
    </row>
    <row r="10" spans="1:161" s="37" customFormat="1" ht="17.25" customHeight="1" x14ac:dyDescent="0.2">
      <c r="A10" s="116">
        <v>2</v>
      </c>
      <c r="B10" s="119" t="s">
        <v>54</v>
      </c>
      <c r="C10" s="119"/>
      <c r="D10" s="120"/>
      <c r="E10" s="121"/>
      <c r="F10" s="138"/>
      <c r="G10" s="138"/>
      <c r="H10" s="144"/>
      <c r="I10" s="145" t="s">
        <v>128</v>
      </c>
      <c r="J10" s="139"/>
      <c r="K10" s="56"/>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row>
    <row r="11" spans="1:161" s="37" customFormat="1" ht="11.4" x14ac:dyDescent="0.2">
      <c r="A11" s="103" t="s">
        <v>14</v>
      </c>
      <c r="B11" s="117" t="s">
        <v>55</v>
      </c>
      <c r="C11" s="117"/>
      <c r="D11" s="130">
        <v>2</v>
      </c>
      <c r="E11" s="19">
        <f>IF(D11="","",IF(D11="Not applicable","-",4))</f>
        <v>4</v>
      </c>
      <c r="F11" s="138"/>
      <c r="G11" s="138"/>
      <c r="H11" s="138"/>
      <c r="I11" s="145" t="s">
        <v>129</v>
      </c>
      <c r="J11" s="138"/>
      <c r="K11" s="63"/>
      <c r="L11" s="56"/>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c r="FE11" s="74"/>
    </row>
    <row r="12" spans="1:161" s="37" customFormat="1" ht="11.4" x14ac:dyDescent="0.2">
      <c r="A12" s="103" t="s">
        <v>13</v>
      </c>
      <c r="B12" s="117" t="s">
        <v>56</v>
      </c>
      <c r="C12" s="117"/>
      <c r="D12" s="130">
        <v>2</v>
      </c>
      <c r="E12" s="19">
        <f>IF(D12="","",IF(D12="Not applicable","-",4))</f>
        <v>4</v>
      </c>
      <c r="F12" s="138"/>
      <c r="G12" s="138"/>
      <c r="H12" s="138"/>
      <c r="I12" s="139">
        <v>0</v>
      </c>
      <c r="J12" s="138"/>
      <c r="K12" s="63"/>
      <c r="L12" s="56"/>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c r="FE12" s="74"/>
    </row>
    <row r="13" spans="1:161" s="37" customFormat="1" ht="11.4" x14ac:dyDescent="0.2">
      <c r="A13" s="103" t="s">
        <v>27</v>
      </c>
      <c r="B13" s="117" t="s">
        <v>57</v>
      </c>
      <c r="C13" s="117"/>
      <c r="D13" s="130">
        <v>2</v>
      </c>
      <c r="E13" s="19">
        <f>IF(D13="","",IF(D13="Not applicable","-",4))</f>
        <v>4</v>
      </c>
      <c r="F13" s="138"/>
      <c r="G13" s="138"/>
      <c r="H13" s="138"/>
      <c r="I13" s="139">
        <v>1</v>
      </c>
      <c r="J13" s="138"/>
      <c r="K13" s="63"/>
      <c r="L13" s="56"/>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row>
    <row r="14" spans="1:161" s="37" customFormat="1" ht="11.4" x14ac:dyDescent="0.2">
      <c r="A14" s="103" t="s">
        <v>12</v>
      </c>
      <c r="B14" s="117" t="s">
        <v>58</v>
      </c>
      <c r="C14" s="117"/>
      <c r="D14" s="130">
        <v>2</v>
      </c>
      <c r="E14" s="19">
        <f>IF(D14="","",IF(D14="Not applicable","-",4))</f>
        <v>4</v>
      </c>
      <c r="F14" s="138"/>
      <c r="G14" s="138"/>
      <c r="H14" s="138"/>
      <c r="I14" s="139">
        <v>2</v>
      </c>
      <c r="J14" s="138"/>
      <c r="K14" s="63"/>
      <c r="L14" s="56"/>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c r="FE14" s="74"/>
    </row>
    <row r="15" spans="1:161" s="37" customFormat="1" ht="11.4" x14ac:dyDescent="0.2">
      <c r="A15" s="103" t="s">
        <v>37</v>
      </c>
      <c r="B15" s="117" t="s">
        <v>59</v>
      </c>
      <c r="C15" s="117"/>
      <c r="D15" s="130">
        <v>2</v>
      </c>
      <c r="E15" s="19">
        <f>IF(D15="","",IF(D15="Not applicable","-",4))</f>
        <v>4</v>
      </c>
      <c r="F15" s="138"/>
      <c r="G15" s="138"/>
      <c r="H15" s="138"/>
      <c r="I15" s="139">
        <v>3</v>
      </c>
      <c r="J15" s="138"/>
      <c r="K15" s="63"/>
      <c r="L15" s="56"/>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c r="FE15" s="74"/>
    </row>
    <row r="16" spans="1:161" s="37" customFormat="1" ht="12" x14ac:dyDescent="0.2">
      <c r="A16" s="122"/>
      <c r="B16" s="118" t="s">
        <v>29</v>
      </c>
      <c r="C16" s="118"/>
      <c r="D16" s="112">
        <f>IF(SUM(D11:D15)=0,"-",SUM(D11:D15))</f>
        <v>10</v>
      </c>
      <c r="E16" s="143">
        <f>IF(SUM(E11:E15)=0,"-",SUM(E11:E15))</f>
        <v>20</v>
      </c>
      <c r="F16" s="138">
        <f>IF(D16="-",0,D16)</f>
        <v>10</v>
      </c>
      <c r="G16" s="138">
        <f>IF(E16="-",0,E16)</f>
        <v>20</v>
      </c>
      <c r="H16" s="138"/>
      <c r="I16" s="139">
        <v>4</v>
      </c>
      <c r="J16" s="138"/>
      <c r="K16" s="63"/>
      <c r="L16" s="56"/>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row>
    <row r="17" spans="1:161" s="37" customFormat="1" ht="12.6" thickBot="1" x14ac:dyDescent="0.25">
      <c r="A17" s="192"/>
      <c r="B17" s="193" t="s">
        <v>60</v>
      </c>
      <c r="C17" s="193"/>
      <c r="D17" s="194">
        <f>IF(F17=0,"-",F17)</f>
        <v>10</v>
      </c>
      <c r="E17" s="195">
        <f>IF(G17=0,"-",G17)</f>
        <v>20</v>
      </c>
      <c r="F17" s="138">
        <f>SUM(F9+F16)</f>
        <v>10</v>
      </c>
      <c r="G17" s="138">
        <f>SUM(G9+G16)</f>
        <v>20</v>
      </c>
      <c r="H17" s="138"/>
      <c r="I17" s="139"/>
      <c r="J17" s="138"/>
      <c r="K17" s="63"/>
      <c r="L17" s="56"/>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row>
    <row r="18" spans="1:161" s="37" customFormat="1" ht="6.75" customHeight="1" thickBot="1" x14ac:dyDescent="0.25">
      <c r="A18" s="196"/>
      <c r="B18" s="197"/>
      <c r="C18" s="197"/>
      <c r="D18" s="198"/>
      <c r="E18" s="199"/>
      <c r="F18" s="138"/>
      <c r="G18" s="138"/>
      <c r="H18" s="138"/>
      <c r="I18" s="139"/>
      <c r="J18" s="138"/>
      <c r="K18" s="63"/>
      <c r="L18" s="56"/>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row>
    <row r="19" spans="1:161" s="37" customFormat="1" ht="19.5" customHeight="1" x14ac:dyDescent="0.2">
      <c r="A19" s="110" t="s">
        <v>61</v>
      </c>
      <c r="B19" s="114" t="s">
        <v>62</v>
      </c>
      <c r="C19" s="114"/>
      <c r="D19" s="62"/>
      <c r="E19" s="115"/>
      <c r="F19" s="138"/>
      <c r="G19" s="138"/>
      <c r="H19" s="144"/>
      <c r="I19" s="144"/>
      <c r="J19" s="139"/>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row>
    <row r="20" spans="1:161" s="37" customFormat="1" ht="11.4" x14ac:dyDescent="0.2">
      <c r="A20" s="103">
        <v>1</v>
      </c>
      <c r="B20" s="117" t="s">
        <v>63</v>
      </c>
      <c r="C20" s="117"/>
      <c r="D20" s="130">
        <v>2</v>
      </c>
      <c r="E20" s="19">
        <f t="shared" ref="E20:E22" si="0">IF(D20="","",IF(D20="Not applicable","-",4))</f>
        <v>4</v>
      </c>
      <c r="F20" s="138"/>
      <c r="G20" s="138"/>
      <c r="H20" s="138"/>
      <c r="I20" s="139"/>
      <c r="J20" s="138"/>
      <c r="K20" s="63"/>
      <c r="L20" s="56"/>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c r="FE20" s="74"/>
    </row>
    <row r="21" spans="1:161" s="37" customFormat="1" ht="11.4" x14ac:dyDescent="0.2">
      <c r="A21" s="103">
        <v>2</v>
      </c>
      <c r="B21" s="117" t="s">
        <v>64</v>
      </c>
      <c r="C21" s="117"/>
      <c r="D21" s="130">
        <v>2</v>
      </c>
      <c r="E21" s="19">
        <f t="shared" si="0"/>
        <v>4</v>
      </c>
      <c r="F21" s="138"/>
      <c r="G21" s="138"/>
      <c r="H21" s="138"/>
      <c r="I21" s="139"/>
      <c r="J21" s="138"/>
      <c r="K21" s="63"/>
      <c r="L21" s="56"/>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c r="FE21" s="74"/>
    </row>
    <row r="22" spans="1:161" s="37" customFormat="1" ht="11.4" x14ac:dyDescent="0.2">
      <c r="A22" s="103">
        <v>3</v>
      </c>
      <c r="B22" s="117" t="s">
        <v>65</v>
      </c>
      <c r="C22" s="117"/>
      <c r="D22" s="130">
        <v>2</v>
      </c>
      <c r="E22" s="19">
        <f t="shared" si="0"/>
        <v>4</v>
      </c>
      <c r="F22" s="138"/>
      <c r="G22" s="138"/>
      <c r="H22" s="138"/>
      <c r="I22" s="139"/>
      <c r="J22" s="138"/>
      <c r="K22" s="63"/>
      <c r="L22" s="56"/>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c r="FE22" s="74"/>
    </row>
    <row r="23" spans="1:161" s="37" customFormat="1" ht="12.6" thickBot="1" x14ac:dyDescent="0.25">
      <c r="A23" s="108"/>
      <c r="B23" s="123" t="s">
        <v>66</v>
      </c>
      <c r="C23" s="123"/>
      <c r="D23" s="107">
        <f>IF(F23=0,"-",F23)</f>
        <v>6</v>
      </c>
      <c r="E23" s="142">
        <f>IF(G23=0,"-",G23)</f>
        <v>12</v>
      </c>
      <c r="F23" s="138">
        <f>SUM(D20:D22)</f>
        <v>6</v>
      </c>
      <c r="G23" s="138">
        <f>SUM(E20:E22)</f>
        <v>12</v>
      </c>
      <c r="H23" s="138"/>
      <c r="I23" s="139"/>
      <c r="J23" s="138"/>
      <c r="K23" s="63"/>
      <c r="L23" s="56"/>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c r="FE23" s="74"/>
    </row>
  </sheetData>
  <sheetProtection password="C445" sheet="1" objects="1" scenarios="1" selectLockedCells="1"/>
  <mergeCells count="3">
    <mergeCell ref="A1:B2"/>
    <mergeCell ref="D1:D2"/>
    <mergeCell ref="E1:E2"/>
  </mergeCells>
  <dataValidations count="5">
    <dataValidation type="custom" allowBlank="1" showInputMessage="1" showErrorMessage="1" error="Pls enter NA or a valid number" sqref="D6" xr:uid="{00000000-0002-0000-0800-000000000000}">
      <formula1>OR(D6="NA",AND(ISNUMBER(D6)))</formula1>
    </dataValidation>
    <dataValidation type="custom" allowBlank="1" showInputMessage="1" showErrorMessage="1" error="No data required in this cell" sqref="E5:E6 E10" xr:uid="{00000000-0002-0000-0800-000001000000}">
      <formula1>ISBLANK(E5)=TRUE</formula1>
    </dataValidation>
    <dataValidation type="custom" showInputMessage="1" showErrorMessage="1" error="Pls enter &quot;Data not allowed&quot; or &quot;Not applicable&quot; or valid ratio/number._x000a_If not applicable, then score out of will be zero, else score out of will be considered." sqref="C8" xr:uid="{00000000-0002-0000-0800-000002000000}">
      <formula1>OR(C8="Not applicable",C8="Data not available",AND(ISNUMBER(C8)))</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D11:D15 D20:D22" xr:uid="{00000000-0002-0000-0800-000003000000}">
      <formula1>$I$10:$I$16</formula1>
    </dataValidation>
    <dataValidation showInputMessage="1" showErrorMessage="1" error="Pls enter &quot;Data not allowed&quot; or &quot;Not applicable&quot; or valid ratio/number._x000a_If not applicable, then score out of will be zero, else score out of will be considered." sqref="C7" xr:uid="{00000000-0002-0000-0800-000004000000}"/>
  </dataValidations>
  <pageMargins left="0.7" right="0.7" top="0.75" bottom="0.75" header="0.3" footer="0.3"/>
  <pageSetup paperSize="9" scale="8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F11"/>
  <sheetViews>
    <sheetView showGridLines="0" showRowColHeaders="0" workbookViewId="0">
      <selection activeCell="C14" sqref="C14"/>
    </sheetView>
  </sheetViews>
  <sheetFormatPr defaultColWidth="9.109375" defaultRowHeight="14.4" x14ac:dyDescent="0.3"/>
  <cols>
    <col min="1" max="1" width="21.88671875" style="98" customWidth="1"/>
    <col min="2" max="2" width="27.44140625" style="98" customWidth="1"/>
    <col min="3" max="3" width="19.33203125" style="98" customWidth="1"/>
    <col min="4" max="4" width="19.44140625" style="98" bestFit="1" customWidth="1"/>
    <col min="5" max="5" width="19.6640625" style="98" customWidth="1"/>
    <col min="6" max="6" width="15.33203125" style="98" customWidth="1"/>
    <col min="7" max="16384" width="9.109375" style="98"/>
  </cols>
  <sheetData>
    <row r="1" spans="1:6" x14ac:dyDescent="0.3">
      <c r="A1" s="124" t="s">
        <v>116</v>
      </c>
      <c r="B1" s="97"/>
      <c r="C1" s="97"/>
      <c r="D1" s="155" t="s">
        <v>111</v>
      </c>
      <c r="E1" s="97" t="str">
        <f>IF('Financial strength'!C6="","",'Financial strength'!C6)</f>
        <v/>
      </c>
      <c r="F1" s="97"/>
    </row>
    <row r="2" spans="1:6" ht="15" thickBot="1" x14ac:dyDescent="0.35"/>
    <row r="3" spans="1:6" s="129" customFormat="1" ht="18.75" customHeight="1" x14ac:dyDescent="0.3">
      <c r="A3" s="125" t="s">
        <v>103</v>
      </c>
      <c r="B3" s="126" t="s">
        <v>8</v>
      </c>
      <c r="C3" s="126" t="s">
        <v>109</v>
      </c>
      <c r="D3" s="126" t="s">
        <v>70</v>
      </c>
      <c r="E3" s="127" t="s">
        <v>20</v>
      </c>
      <c r="F3" s="128" t="s">
        <v>71</v>
      </c>
    </row>
    <row r="4" spans="1:6" x14ac:dyDescent="0.3">
      <c r="A4" s="150">
        <v>1</v>
      </c>
      <c r="B4" s="24" t="s">
        <v>68</v>
      </c>
      <c r="C4" s="166" t="str">
        <f>'Financial strength'!E45</f>
        <v>-</v>
      </c>
      <c r="D4" s="17" t="str">
        <f>'Financial strength'!D45</f>
        <v>-</v>
      </c>
      <c r="E4" s="18">
        <v>40</v>
      </c>
      <c r="F4" s="151">
        <f>IFERROR((D4*E4)/C4,0)</f>
        <v>0</v>
      </c>
    </row>
    <row r="5" spans="1:6" x14ac:dyDescent="0.3">
      <c r="A5" s="150">
        <v>2</v>
      </c>
      <c r="B5" s="24" t="s">
        <v>69</v>
      </c>
      <c r="C5" s="166">
        <f>'Business performance - Manu'!D38</f>
        <v>80</v>
      </c>
      <c r="D5" s="166" t="str">
        <f>'Business performance - Manu'!C38</f>
        <v>-</v>
      </c>
      <c r="E5" s="18">
        <v>20</v>
      </c>
      <c r="F5" s="151">
        <f t="shared" ref="F5:F7" si="0">IFERROR((D5*E5)/C5,0)</f>
        <v>0</v>
      </c>
    </row>
    <row r="6" spans="1:6" x14ac:dyDescent="0.3">
      <c r="A6" s="152">
        <v>3</v>
      </c>
      <c r="B6" s="24" t="s">
        <v>50</v>
      </c>
      <c r="C6" s="17">
        <f>'Mgt Eval &amp; Conduct of ac_Manu'!E17</f>
        <v>20</v>
      </c>
      <c r="D6" s="17">
        <f>'Mgt Eval &amp; Conduct of ac_Manu'!D17</f>
        <v>10</v>
      </c>
      <c r="E6" s="18">
        <v>20</v>
      </c>
      <c r="F6" s="151">
        <f t="shared" si="0"/>
        <v>10</v>
      </c>
    </row>
    <row r="7" spans="1:6" x14ac:dyDescent="0.3">
      <c r="A7" s="152">
        <v>4</v>
      </c>
      <c r="B7" s="24" t="s">
        <v>62</v>
      </c>
      <c r="C7" s="17">
        <f>'Mgt Eval &amp; Conduct of ac_Manu'!E23</f>
        <v>12</v>
      </c>
      <c r="D7" s="17">
        <f>'Mgt Eval &amp; Conduct of ac_Manu'!D23</f>
        <v>6</v>
      </c>
      <c r="E7" s="18">
        <v>20</v>
      </c>
      <c r="F7" s="151">
        <f t="shared" si="0"/>
        <v>10</v>
      </c>
    </row>
    <row r="8" spans="1:6" ht="24.75" customHeight="1" thickBot="1" x14ac:dyDescent="0.35">
      <c r="A8" s="547" t="s">
        <v>67</v>
      </c>
      <c r="B8" s="548"/>
      <c r="C8" s="548"/>
      <c r="D8" s="548"/>
      <c r="E8" s="549"/>
      <c r="F8" s="153">
        <f>SUM(F4:F7)/100</f>
        <v>0.2</v>
      </c>
    </row>
    <row r="9" spans="1:6" ht="15" thickBot="1" x14ac:dyDescent="0.35"/>
    <row r="10" spans="1:6" ht="15.6" x14ac:dyDescent="0.3">
      <c r="A10" s="157" t="s">
        <v>118</v>
      </c>
      <c r="B10" s="158" t="s">
        <v>119</v>
      </c>
      <c r="C10" s="550" t="s">
        <v>120</v>
      </c>
      <c r="D10" s="551"/>
    </row>
    <row r="11" spans="1:6" ht="16.2" thickBot="1" x14ac:dyDescent="0.35">
      <c r="A11" s="159">
        <f>F8</f>
        <v>0.2</v>
      </c>
      <c r="B11" s="160" t="str">
        <f>IF(A11="","",IF(A11="na","-",IF(A11&lt;=30%,"C",IF(A11&lt;=40%,"B",IF(A11&lt;=50%,"BB",IF(A11&lt;=60%,"BBB",IF(A11&lt;=70%,"A",IF(A11&lt;=80%,"AA",IF(A11&gt;80%,"AAA",0)))))))))</f>
        <v>C</v>
      </c>
      <c r="C11" s="552" t="str">
        <f>IF(B11="AAA","Minimum Risk",IF(B11="AA","Marginal Risk",IF(B11="A","Modest Risk",IF(B11="BBB","Average Risk",IF(B11="BB","Marginally acceptable Risk",IF(B11="B","High Risk",IF(B11="C","Caution",0)))))))</f>
        <v>Caution</v>
      </c>
      <c r="D11" s="553"/>
    </row>
  </sheetData>
  <sheetProtection password="C445" sheet="1" objects="1" scenarios="1" selectLockedCells="1" selectUnlockedCells="1"/>
  <mergeCells count="3">
    <mergeCell ref="A8:E8"/>
    <mergeCell ref="C10:D10"/>
    <mergeCell ref="C11:D11"/>
  </mergeCells>
  <pageMargins left="0.7" right="0.7" top="0.75" bottom="0.75" header="0.3" footer="0.3"/>
  <pageSetup paperSize="9"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pageSetUpPr fitToPage="1"/>
  </sheetPr>
  <dimension ref="A1:FD37"/>
  <sheetViews>
    <sheetView showGridLines="0" workbookViewId="0">
      <selection activeCell="C24" sqref="C24"/>
    </sheetView>
  </sheetViews>
  <sheetFormatPr defaultColWidth="9.109375" defaultRowHeight="14.4" x14ac:dyDescent="0.3"/>
  <cols>
    <col min="1" max="1" width="6.33203125" style="99" bestFit="1" customWidth="1"/>
    <col min="2" max="2" width="50.5546875" style="98" bestFit="1" customWidth="1"/>
    <col min="3" max="3" width="20.33203125" style="99" bestFit="1" customWidth="1"/>
    <col min="4" max="4" width="19.6640625" style="98" customWidth="1"/>
    <col min="5" max="8" width="9.109375" style="182"/>
    <col min="9" max="12" width="9.109375" style="148"/>
    <col min="13" max="16384" width="9.109375" style="98"/>
  </cols>
  <sheetData>
    <row r="1" spans="1:160" x14ac:dyDescent="0.3">
      <c r="A1" s="246" t="s">
        <v>43</v>
      </c>
      <c r="B1" s="247" t="s">
        <v>308</v>
      </c>
      <c r="C1" s="248" t="s">
        <v>111</v>
      </c>
      <c r="D1" s="249" t="str">
        <f>IF('Financial strength'!C6="","",'Financial strength'!C6)</f>
        <v/>
      </c>
    </row>
    <row r="2" spans="1:160" ht="15" thickBot="1" x14ac:dyDescent="0.35"/>
    <row r="3" spans="1:160" s="37" customFormat="1" ht="20.25" customHeight="1" thickBot="1" x14ac:dyDescent="0.25">
      <c r="A3" s="250" t="s">
        <v>103</v>
      </c>
      <c r="B3" s="251" t="s">
        <v>8</v>
      </c>
      <c r="C3" s="252" t="s">
        <v>9</v>
      </c>
      <c r="D3" s="253" t="s">
        <v>109</v>
      </c>
      <c r="E3" s="138"/>
      <c r="F3" s="138"/>
      <c r="G3" s="138"/>
      <c r="H3" s="139"/>
      <c r="I3" s="56"/>
      <c r="J3" s="63"/>
      <c r="K3" s="56"/>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row>
    <row r="4" spans="1:160" s="37" customFormat="1" ht="16.5" customHeight="1" x14ac:dyDescent="0.2">
      <c r="A4" s="70">
        <v>1</v>
      </c>
      <c r="B4" s="71" t="s">
        <v>309</v>
      </c>
      <c r="C4" s="56"/>
      <c r="D4" s="102"/>
      <c r="E4" s="138"/>
      <c r="F4" s="138"/>
      <c r="G4" s="138" t="s">
        <v>128</v>
      </c>
      <c r="H4" s="144"/>
      <c r="I4" s="63"/>
      <c r="J4" s="56"/>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c r="CJ4" s="74"/>
      <c r="CK4" s="74"/>
      <c r="CL4" s="74"/>
      <c r="CM4" s="74"/>
      <c r="CN4" s="74"/>
      <c r="CO4" s="74"/>
      <c r="CP4" s="74"/>
      <c r="CQ4" s="74"/>
      <c r="CR4" s="74"/>
      <c r="CS4" s="74"/>
      <c r="CT4" s="74"/>
      <c r="CU4" s="74"/>
      <c r="CV4" s="74"/>
      <c r="CW4" s="74"/>
      <c r="CX4" s="74"/>
      <c r="CY4" s="74"/>
      <c r="CZ4" s="74"/>
      <c r="DA4" s="74"/>
      <c r="DB4" s="74"/>
      <c r="DC4" s="74"/>
      <c r="DD4" s="74"/>
      <c r="DE4" s="74"/>
      <c r="DF4" s="74"/>
      <c r="DG4" s="74"/>
      <c r="DH4" s="74"/>
      <c r="DI4" s="74"/>
      <c r="DJ4" s="74"/>
      <c r="DK4" s="74"/>
      <c r="DL4" s="74"/>
      <c r="DM4" s="74"/>
      <c r="DN4" s="74"/>
      <c r="DO4" s="74"/>
      <c r="DP4" s="74"/>
      <c r="DQ4" s="74"/>
      <c r="DR4" s="74"/>
      <c r="DS4" s="74"/>
      <c r="DT4" s="74"/>
      <c r="DU4" s="74"/>
      <c r="DV4" s="74"/>
      <c r="DW4" s="74"/>
      <c r="DX4" s="74"/>
      <c r="DY4" s="74"/>
      <c r="DZ4" s="74"/>
      <c r="EA4" s="74"/>
      <c r="EB4" s="74"/>
      <c r="EC4" s="74"/>
      <c r="ED4" s="74"/>
      <c r="EE4" s="74"/>
      <c r="EF4" s="74"/>
      <c r="EG4" s="74"/>
      <c r="EH4" s="74"/>
      <c r="EI4" s="74"/>
      <c r="EJ4" s="74"/>
      <c r="EK4" s="74"/>
      <c r="EL4" s="74"/>
      <c r="EM4" s="74"/>
      <c r="EN4" s="74"/>
      <c r="EO4" s="74"/>
      <c r="EP4" s="74"/>
      <c r="EQ4" s="74"/>
      <c r="ER4" s="74"/>
      <c r="ES4" s="74"/>
      <c r="ET4" s="74"/>
      <c r="EU4" s="74"/>
      <c r="EV4" s="74"/>
      <c r="EW4" s="74"/>
      <c r="EX4" s="74"/>
      <c r="EY4" s="74"/>
    </row>
    <row r="5" spans="1:160" s="37" customFormat="1" ht="11.4" x14ac:dyDescent="0.2">
      <c r="A5" s="103" t="s">
        <v>14</v>
      </c>
      <c r="B5" s="104" t="s">
        <v>310</v>
      </c>
      <c r="C5" s="254">
        <v>3</v>
      </c>
      <c r="D5" s="19">
        <f>IF(C5="","",IF(C5="Not applicable","-",4))</f>
        <v>4</v>
      </c>
      <c r="E5" s="138"/>
      <c r="F5" s="138"/>
      <c r="G5" s="145" t="s">
        <v>129</v>
      </c>
      <c r="H5" s="139"/>
      <c r="I5" s="56"/>
      <c r="J5" s="63"/>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c r="FA5" s="74"/>
      <c r="FB5" s="74"/>
      <c r="FC5" s="74"/>
      <c r="FD5" s="74"/>
    </row>
    <row r="6" spans="1:160" s="37" customFormat="1" ht="11.4" x14ac:dyDescent="0.2">
      <c r="A6" s="103" t="s">
        <v>13</v>
      </c>
      <c r="B6" s="104" t="s">
        <v>311</v>
      </c>
      <c r="C6" s="254">
        <v>2</v>
      </c>
      <c r="D6" s="19">
        <f t="shared" ref="D6:D8" si="0">IF(C6="","",IF(C6="Not applicable","-",4))</f>
        <v>4</v>
      </c>
      <c r="E6" s="138"/>
      <c r="F6" s="138"/>
      <c r="G6" s="138">
        <v>0</v>
      </c>
      <c r="H6" s="139"/>
      <c r="I6" s="56"/>
      <c r="J6" s="63"/>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row>
    <row r="7" spans="1:160" s="37" customFormat="1" ht="11.4" x14ac:dyDescent="0.2">
      <c r="A7" s="103" t="s">
        <v>27</v>
      </c>
      <c r="B7" s="104" t="s">
        <v>312</v>
      </c>
      <c r="C7" s="254">
        <v>3</v>
      </c>
      <c r="D7" s="19">
        <f t="shared" si="0"/>
        <v>4</v>
      </c>
      <c r="E7" s="138"/>
      <c r="F7" s="138"/>
      <c r="G7" s="138">
        <v>1</v>
      </c>
      <c r="H7" s="139"/>
      <c r="I7" s="56"/>
      <c r="J7" s="63"/>
      <c r="K7" s="56"/>
      <c r="L7" s="74"/>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row>
    <row r="8" spans="1:160" s="37" customFormat="1" ht="11.4" x14ac:dyDescent="0.2">
      <c r="A8" s="103" t="s">
        <v>12</v>
      </c>
      <c r="B8" s="104" t="s">
        <v>313</v>
      </c>
      <c r="C8" s="254">
        <v>3</v>
      </c>
      <c r="D8" s="19">
        <f t="shared" si="0"/>
        <v>4</v>
      </c>
      <c r="E8" s="138"/>
      <c r="F8" s="138"/>
      <c r="G8" s="138">
        <v>2</v>
      </c>
      <c r="H8" s="139"/>
      <c r="I8" s="56"/>
      <c r="J8" s="63"/>
      <c r="K8" s="56"/>
      <c r="L8" s="74"/>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row>
    <row r="9" spans="1:160" s="37" customFormat="1" ht="12.6" thickBot="1" x14ac:dyDescent="0.25">
      <c r="A9" s="255"/>
      <c r="B9" s="256" t="s">
        <v>45</v>
      </c>
      <c r="C9" s="257">
        <f>IF(SUM(C5:C8)=0,"-",SUM(C5:C8))</f>
        <v>11</v>
      </c>
      <c r="D9" s="258">
        <f>IF(SUM(D5:D8)=0,"-",SUM(D5:D8))</f>
        <v>16</v>
      </c>
      <c r="E9" s="138">
        <f>IF(C9="-",0,C9)</f>
        <v>11</v>
      </c>
      <c r="F9" s="138">
        <f>IF(D9="-",0,D9)</f>
        <v>16</v>
      </c>
      <c r="G9" s="138">
        <v>3</v>
      </c>
      <c r="H9" s="139"/>
      <c r="I9" s="56"/>
      <c r="J9" s="63"/>
      <c r="K9" s="56"/>
      <c r="L9" s="74"/>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row>
    <row r="10" spans="1:160" s="37" customFormat="1" ht="16.5" customHeight="1" x14ac:dyDescent="0.2">
      <c r="A10" s="70">
        <v>2</v>
      </c>
      <c r="B10" s="71" t="s">
        <v>314</v>
      </c>
      <c r="C10" s="56"/>
      <c r="D10" s="102"/>
      <c r="E10" s="138"/>
      <c r="F10" s="138"/>
      <c r="G10" s="138">
        <v>4</v>
      </c>
      <c r="H10" s="144"/>
      <c r="I10" s="63"/>
      <c r="J10" s="56"/>
      <c r="K10" s="74"/>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row>
    <row r="11" spans="1:160" s="37" customFormat="1" ht="11.4" x14ac:dyDescent="0.2">
      <c r="A11" s="103" t="s">
        <v>14</v>
      </c>
      <c r="B11" s="104" t="s">
        <v>315</v>
      </c>
      <c r="C11" s="254">
        <v>3</v>
      </c>
      <c r="D11" s="19">
        <f t="shared" ref="D11:D13" si="1">IF(C11="","",IF(C11="Not applicable","-",4))</f>
        <v>4</v>
      </c>
      <c r="E11" s="138"/>
      <c r="F11" s="138"/>
      <c r="G11" s="138"/>
      <c r="H11" s="139"/>
      <c r="I11" s="56"/>
      <c r="J11" s="63"/>
      <c r="K11" s="56"/>
      <c r="L11" s="74"/>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row>
    <row r="12" spans="1:160" s="37" customFormat="1" ht="11.4" x14ac:dyDescent="0.2">
      <c r="A12" s="103" t="s">
        <v>13</v>
      </c>
      <c r="B12" s="104" t="s">
        <v>84</v>
      </c>
      <c r="C12" s="254">
        <v>4</v>
      </c>
      <c r="D12" s="19">
        <f t="shared" si="1"/>
        <v>4</v>
      </c>
      <c r="E12" s="138"/>
      <c r="F12" s="138"/>
      <c r="G12" s="138"/>
      <c r="H12" s="139"/>
      <c r="I12" s="56"/>
      <c r="J12" s="63"/>
      <c r="K12" s="56"/>
      <c r="L12" s="74"/>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row>
    <row r="13" spans="1:160" s="37" customFormat="1" ht="11.4" x14ac:dyDescent="0.2">
      <c r="A13" s="213" t="s">
        <v>27</v>
      </c>
      <c r="B13" s="214" t="s">
        <v>316</v>
      </c>
      <c r="C13" s="254">
        <v>4</v>
      </c>
      <c r="D13" s="19">
        <f t="shared" si="1"/>
        <v>4</v>
      </c>
      <c r="E13" s="138"/>
      <c r="F13" s="138"/>
      <c r="G13" s="138"/>
      <c r="H13" s="139"/>
      <c r="I13" s="56"/>
      <c r="J13" s="63"/>
      <c r="K13" s="56"/>
      <c r="L13" s="74"/>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row>
    <row r="14" spans="1:160" s="37" customFormat="1" ht="12.6" thickBot="1" x14ac:dyDescent="0.25">
      <c r="A14" s="259"/>
      <c r="B14" s="256" t="s">
        <v>29</v>
      </c>
      <c r="C14" s="257">
        <f>IF(SUM(C11:C13)=0,"-",SUM(C11:C13))</f>
        <v>11</v>
      </c>
      <c r="D14" s="258">
        <f>IF(SUM(D11:D13)=0,"-",SUM(D11:D13))</f>
        <v>12</v>
      </c>
      <c r="E14" s="138">
        <f>IF(C14="-",0,C14)</f>
        <v>11</v>
      </c>
      <c r="F14" s="138">
        <f>IF(D14="-",0,D14)</f>
        <v>12</v>
      </c>
      <c r="G14" s="138"/>
      <c r="H14" s="139"/>
      <c r="I14" s="56"/>
      <c r="J14" s="63"/>
      <c r="K14" s="56"/>
      <c r="L14" s="74"/>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row>
    <row r="15" spans="1:160" s="37" customFormat="1" ht="16.5" customHeight="1" x14ac:dyDescent="0.2">
      <c r="A15" s="70">
        <v>3</v>
      </c>
      <c r="B15" s="71" t="s">
        <v>317</v>
      </c>
      <c r="C15" s="56"/>
      <c r="D15" s="102"/>
      <c r="E15" s="138"/>
      <c r="F15" s="138"/>
      <c r="G15" s="144"/>
      <c r="H15" s="144"/>
      <c r="I15" s="63"/>
      <c r="J15" s="56"/>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row>
    <row r="16" spans="1:160" s="37" customFormat="1" ht="11.4" x14ac:dyDescent="0.2">
      <c r="A16" s="103" t="s">
        <v>14</v>
      </c>
      <c r="B16" s="109" t="s">
        <v>318</v>
      </c>
      <c r="C16" s="254">
        <v>2</v>
      </c>
      <c r="D16" s="19">
        <f t="shared" ref="D16:D19" si="2">IF(C16="","",IF(C16="Not applicable","-",4))</f>
        <v>4</v>
      </c>
      <c r="E16" s="138"/>
      <c r="F16" s="138"/>
      <c r="G16" s="138"/>
      <c r="H16" s="139"/>
      <c r="I16" s="56"/>
      <c r="J16" s="63"/>
      <c r="K16" s="56"/>
      <c r="L16" s="74"/>
      <c r="M16" s="74"/>
      <c r="N16" s="74"/>
      <c r="O16" s="74"/>
      <c r="P16" s="74"/>
      <c r="Q16" s="74"/>
      <c r="R16" s="74"/>
      <c r="S16" s="74"/>
      <c r="T16" s="74"/>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c r="EZ16" s="74"/>
      <c r="FA16" s="74"/>
      <c r="FB16" s="74"/>
      <c r="FC16" s="74"/>
      <c r="FD16" s="74"/>
    </row>
    <row r="17" spans="1:160" s="37" customFormat="1" ht="11.4" x14ac:dyDescent="0.2">
      <c r="A17" s="103" t="s">
        <v>13</v>
      </c>
      <c r="B17" s="104" t="s">
        <v>319</v>
      </c>
      <c r="C17" s="254">
        <v>3</v>
      </c>
      <c r="D17" s="19">
        <f t="shared" si="2"/>
        <v>4</v>
      </c>
      <c r="E17" s="138"/>
      <c r="F17" s="138"/>
      <c r="G17" s="138"/>
      <c r="H17" s="139"/>
      <c r="I17" s="146"/>
      <c r="J17" s="146"/>
      <c r="K17" s="56"/>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c r="EZ17" s="74"/>
      <c r="FA17" s="74"/>
      <c r="FB17" s="74"/>
      <c r="FC17" s="74"/>
      <c r="FD17" s="74"/>
    </row>
    <row r="18" spans="1:160" s="37" customFormat="1" ht="11.4" x14ac:dyDescent="0.2">
      <c r="A18" s="103" t="s">
        <v>27</v>
      </c>
      <c r="B18" s="104" t="s">
        <v>320</v>
      </c>
      <c r="C18" s="254">
        <v>3</v>
      </c>
      <c r="D18" s="19">
        <f t="shared" si="2"/>
        <v>4</v>
      </c>
      <c r="E18" s="138"/>
      <c r="F18" s="138"/>
      <c r="G18" s="138"/>
      <c r="H18" s="139"/>
      <c r="I18" s="146"/>
      <c r="J18" s="146"/>
      <c r="K18" s="56"/>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c r="EZ18" s="74"/>
      <c r="FA18" s="74"/>
      <c r="FB18" s="74"/>
      <c r="FC18" s="74"/>
      <c r="FD18" s="74"/>
    </row>
    <row r="19" spans="1:160" s="37" customFormat="1" ht="11.4" x14ac:dyDescent="0.2">
      <c r="A19" s="103" t="s">
        <v>12</v>
      </c>
      <c r="B19" s="104" t="s">
        <v>321</v>
      </c>
      <c r="C19" s="254">
        <v>2</v>
      </c>
      <c r="D19" s="19">
        <f t="shared" si="2"/>
        <v>4</v>
      </c>
      <c r="E19" s="138"/>
      <c r="F19" s="138"/>
      <c r="G19" s="138"/>
      <c r="H19" s="139"/>
      <c r="I19" s="146"/>
      <c r="J19" s="146"/>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c r="FA19" s="74"/>
      <c r="FB19" s="74"/>
      <c r="FC19" s="74"/>
      <c r="FD19" s="74"/>
    </row>
    <row r="20" spans="1:160" s="37" customFormat="1" ht="12.6" thickBot="1" x14ac:dyDescent="0.25">
      <c r="A20" s="259"/>
      <c r="B20" s="256" t="s">
        <v>39</v>
      </c>
      <c r="C20" s="257">
        <f>IF(SUM(C16:C19)=0,"-",SUM(C16:C19))</f>
        <v>10</v>
      </c>
      <c r="D20" s="258">
        <f>IF(SUM(D16:D19)=0,"-",SUM(D16:D19))</f>
        <v>16</v>
      </c>
      <c r="E20" s="138">
        <f>IF(C20="-",0,C20)</f>
        <v>10</v>
      </c>
      <c r="F20" s="138">
        <f>IF(D20="-",0,D20)</f>
        <v>16</v>
      </c>
      <c r="G20" s="138"/>
      <c r="H20" s="139"/>
      <c r="I20" s="146"/>
      <c r="J20" s="146"/>
      <c r="K20" s="56"/>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row>
    <row r="21" spans="1:160" s="37" customFormat="1" ht="16.5" customHeight="1" x14ac:dyDescent="0.2">
      <c r="A21" s="110">
        <v>4</v>
      </c>
      <c r="B21" s="71" t="s">
        <v>322</v>
      </c>
      <c r="C21" s="56"/>
      <c r="D21" s="102"/>
      <c r="E21" s="138"/>
      <c r="F21" s="138"/>
      <c r="G21" s="144"/>
      <c r="H21" s="144"/>
      <c r="I21" s="146"/>
      <c r="J21" s="146"/>
      <c r="K21" s="74"/>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row>
    <row r="22" spans="1:160" s="37" customFormat="1" ht="11.4" x14ac:dyDescent="0.2">
      <c r="A22" s="103" t="s">
        <v>14</v>
      </c>
      <c r="B22" s="104" t="s">
        <v>323</v>
      </c>
      <c r="C22" s="254">
        <v>1</v>
      </c>
      <c r="D22" s="19">
        <f t="shared" ref="D22:D24" si="3">IF(C22="","",IF(C22="Not applicable","-",4))</f>
        <v>4</v>
      </c>
      <c r="E22" s="138"/>
      <c r="F22" s="138"/>
      <c r="G22" s="138"/>
      <c r="H22" s="139"/>
      <c r="I22" s="146"/>
      <c r="J22" s="146"/>
      <c r="K22" s="56"/>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row>
    <row r="23" spans="1:160" s="37" customFormat="1" ht="11.4" x14ac:dyDescent="0.2">
      <c r="A23" s="103" t="s">
        <v>13</v>
      </c>
      <c r="B23" s="104" t="s">
        <v>324</v>
      </c>
      <c r="C23" s="254">
        <v>2</v>
      </c>
      <c r="D23" s="19">
        <f t="shared" si="3"/>
        <v>4</v>
      </c>
      <c r="E23" s="138"/>
      <c r="F23" s="138"/>
      <c r="G23" s="138"/>
      <c r="H23" s="139"/>
      <c r="I23" s="146"/>
      <c r="J23" s="63"/>
      <c r="K23" s="56"/>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row>
    <row r="24" spans="1:160" s="37" customFormat="1" ht="11.4" x14ac:dyDescent="0.2">
      <c r="A24" s="103" t="s">
        <v>27</v>
      </c>
      <c r="B24" s="104" t="s">
        <v>325</v>
      </c>
      <c r="C24" s="254">
        <v>2</v>
      </c>
      <c r="D24" s="19">
        <f t="shared" si="3"/>
        <v>4</v>
      </c>
      <c r="E24" s="138"/>
      <c r="F24" s="138"/>
      <c r="G24" s="138"/>
      <c r="H24" s="139"/>
      <c r="I24" s="56"/>
      <c r="J24" s="63"/>
      <c r="K24" s="56"/>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c r="EZ24" s="74"/>
      <c r="FA24" s="74"/>
      <c r="FB24" s="74"/>
      <c r="FC24" s="74"/>
      <c r="FD24" s="74"/>
    </row>
    <row r="25" spans="1:160" s="37" customFormat="1" ht="12.6" thickBot="1" x14ac:dyDescent="0.25">
      <c r="A25" s="260"/>
      <c r="B25" s="261" t="s">
        <v>40</v>
      </c>
      <c r="C25" s="257">
        <f>IF(SUM(C22:C24)=0,"-",SUM(C22:C24))</f>
        <v>5</v>
      </c>
      <c r="D25" s="258">
        <f>IF(SUM(D22:D24)=0,"-",SUM(D22:D24))</f>
        <v>12</v>
      </c>
      <c r="E25" s="138">
        <f>IF(C25="-",0,C25)</f>
        <v>5</v>
      </c>
      <c r="F25" s="138">
        <f>IF(D25="-",0,D25)</f>
        <v>12</v>
      </c>
      <c r="G25" s="138"/>
      <c r="H25" s="139"/>
      <c r="I25" s="138"/>
      <c r="J25" s="139"/>
      <c r="K25" s="138"/>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c r="EZ25" s="74"/>
      <c r="FA25" s="74"/>
      <c r="FB25" s="74"/>
      <c r="FC25" s="74"/>
      <c r="FD25" s="74"/>
    </row>
    <row r="26" spans="1:160" s="37" customFormat="1" ht="12.6" thickBot="1" x14ac:dyDescent="0.25">
      <c r="A26" s="255"/>
      <c r="B26" s="256" t="s">
        <v>326</v>
      </c>
      <c r="C26" s="262">
        <f>IF(E26=0,"-",E26)</f>
        <v>37</v>
      </c>
      <c r="D26" s="263">
        <f>IF(F26=0,"-",F26)</f>
        <v>56</v>
      </c>
      <c r="E26" s="138">
        <f>SUM(E9:E25)</f>
        <v>37</v>
      </c>
      <c r="F26" s="138">
        <f>SUM(F9:F25)</f>
        <v>56</v>
      </c>
      <c r="G26" s="138"/>
      <c r="H26" s="139"/>
      <c r="I26" s="138"/>
      <c r="J26" s="139"/>
      <c r="K26" s="138"/>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c r="EZ26" s="74"/>
      <c r="FA26" s="74"/>
      <c r="FB26" s="74"/>
      <c r="FC26" s="74"/>
      <c r="FD26" s="74"/>
    </row>
    <row r="27" spans="1:160" ht="24" x14ac:dyDescent="0.3">
      <c r="A27" s="165">
        <v>5</v>
      </c>
      <c r="B27" s="161" t="s">
        <v>122</v>
      </c>
      <c r="C27" s="162"/>
      <c r="D27" s="163"/>
      <c r="I27" s="182"/>
      <c r="J27" s="182"/>
      <c r="K27" s="182"/>
    </row>
    <row r="28" spans="1:160" ht="15" thickBot="1" x14ac:dyDescent="0.35">
      <c r="A28" s="164" t="s">
        <v>14</v>
      </c>
      <c r="B28" s="264" t="s">
        <v>125</v>
      </c>
      <c r="C28" s="542">
        <f>VLOOKUP(B28,I31:$J$35,2,0)</f>
        <v>44.4</v>
      </c>
      <c r="D28" s="543"/>
      <c r="I28" s="182"/>
      <c r="J28" s="182"/>
      <c r="K28" s="182"/>
    </row>
    <row r="29" spans="1:160" ht="15" thickBot="1" x14ac:dyDescent="0.35">
      <c r="A29" s="265"/>
      <c r="B29" s="266" t="s">
        <v>123</v>
      </c>
      <c r="C29" s="267">
        <f>IF(OR(B28="Not applicable",B28="",B28="Data not available"),C26,C28)</f>
        <v>44.4</v>
      </c>
      <c r="D29" s="268">
        <f>D26</f>
        <v>56</v>
      </c>
      <c r="I29" s="182"/>
      <c r="J29" s="182"/>
      <c r="K29" s="182"/>
    </row>
    <row r="30" spans="1:160" x14ac:dyDescent="0.3">
      <c r="I30" s="138" t="s">
        <v>124</v>
      </c>
      <c r="J30" s="139"/>
      <c r="K30" s="182"/>
    </row>
    <row r="31" spans="1:160" x14ac:dyDescent="0.3">
      <c r="I31" s="144"/>
      <c r="J31" s="139"/>
      <c r="K31" s="182"/>
    </row>
    <row r="32" spans="1:160" x14ac:dyDescent="0.3">
      <c r="I32" s="138" t="s">
        <v>128</v>
      </c>
      <c r="J32" s="139" t="s">
        <v>130</v>
      </c>
      <c r="K32" s="182"/>
    </row>
    <row r="33" spans="9:11" x14ac:dyDescent="0.3">
      <c r="I33" s="138" t="s">
        <v>125</v>
      </c>
      <c r="J33" s="139">
        <f>IF(C26*1.2&gt;D26,D26,C26*1.2)</f>
        <v>44.4</v>
      </c>
      <c r="K33" s="182"/>
    </row>
    <row r="34" spans="9:11" x14ac:dyDescent="0.3">
      <c r="I34" s="139" t="s">
        <v>126</v>
      </c>
      <c r="J34" s="469">
        <f>C26</f>
        <v>37</v>
      </c>
      <c r="K34" s="182"/>
    </row>
    <row r="35" spans="9:11" x14ac:dyDescent="0.3">
      <c r="I35" s="138" t="s">
        <v>127</v>
      </c>
      <c r="J35" s="139">
        <f>C26*0.8</f>
        <v>29.6</v>
      </c>
      <c r="K35" s="182"/>
    </row>
    <row r="36" spans="9:11" x14ac:dyDescent="0.3">
      <c r="I36" s="182"/>
      <c r="J36" s="182"/>
      <c r="K36" s="182"/>
    </row>
    <row r="37" spans="9:11" x14ac:dyDescent="0.3">
      <c r="I37" s="182"/>
      <c r="J37" s="182"/>
      <c r="K37" s="182"/>
    </row>
  </sheetData>
  <sheetProtection password="C445" sheet="1" objects="1" scenarios="1" selectLockedCells="1"/>
  <mergeCells count="1">
    <mergeCell ref="C28:D28"/>
  </mergeCells>
  <dataValidations count="3">
    <dataValidation type="list" allowBlank="1" showInputMessage="1" showErrorMessage="1" error="Pls enter &quot;Data not allowed&quot; or &quot;Not applicable&quot; or valid ratio/number._x000a_If not applicable, then score out of will be zero, else score out of will be considered." sqref="C5:C8 C22:C24 C16:C19 C11:C13" xr:uid="{00000000-0002-0000-0A00-000000000000}">
      <formula1>$G$4:$G$10</formula1>
    </dataValidation>
    <dataValidation type="custom" allowBlank="1" showInputMessage="1" showErrorMessage="1" error="No data required in this cell" sqref="D21 D15 D10" xr:uid="{00000000-0002-0000-0A00-000001000000}">
      <formula1>ISBLANK(D10)=TRUE</formula1>
    </dataValidation>
    <dataValidation type="list" errorStyle="information" allowBlank="1" showInputMessage="1" showErrorMessage="1" error="Please select valid option if information is available from Head Office, else select Not applicable." promptTitle="Important" prompt="Please select valid option if information is available from Head Office, else select Not applicable." sqref="B28" xr:uid="{00000000-0002-0000-0A00-000002000000}">
      <formula1>$I$31:$I$35</formula1>
    </dataValidation>
  </dataValidations>
  <pageMargins left="0.7" right="0.7" top="0.75" bottom="0.75" header="0.3" footer="0.3"/>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pageSetUpPr fitToPage="1"/>
  </sheetPr>
  <dimension ref="A1:FE23"/>
  <sheetViews>
    <sheetView showGridLines="0" workbookViewId="0">
      <selection activeCell="D22" sqref="D22"/>
    </sheetView>
  </sheetViews>
  <sheetFormatPr defaultColWidth="9.109375" defaultRowHeight="14.4" x14ac:dyDescent="0.3"/>
  <cols>
    <col min="1" max="1" width="9.109375" style="99"/>
    <col min="2" max="2" width="45.6640625" style="98" customWidth="1"/>
    <col min="3" max="3" width="19.5546875" style="98" customWidth="1"/>
    <col min="4" max="4" width="19.44140625" style="98" customWidth="1"/>
    <col min="5" max="5" width="20.33203125" style="98" bestFit="1" customWidth="1"/>
    <col min="6" max="10" width="9.109375" style="182"/>
    <col min="11" max="11" width="9.109375" style="148"/>
    <col min="12" max="16384" width="9.109375" style="98"/>
  </cols>
  <sheetData>
    <row r="1" spans="1:161" x14ac:dyDescent="0.3">
      <c r="A1" s="554" t="s">
        <v>327</v>
      </c>
      <c r="B1" s="554"/>
      <c r="C1" s="269"/>
      <c r="D1" s="555" t="s">
        <v>111</v>
      </c>
      <c r="E1" s="556" t="str">
        <f>IF('Financial strength'!C6="","",'Financial strength'!C6)</f>
        <v/>
      </c>
    </row>
    <row r="2" spans="1:161" x14ac:dyDescent="0.3">
      <c r="A2" s="554"/>
      <c r="B2" s="554"/>
      <c r="C2" s="269"/>
      <c r="D2" s="555"/>
      <c r="E2" s="556"/>
    </row>
    <row r="3" spans="1:161" ht="15" thickBot="1" x14ac:dyDescent="0.35"/>
    <row r="4" spans="1:161" s="37" customFormat="1" ht="24.6" thickBot="1" x14ac:dyDescent="0.25">
      <c r="A4" s="250" t="s">
        <v>107</v>
      </c>
      <c r="B4" s="270" t="s">
        <v>8</v>
      </c>
      <c r="C4" s="270" t="s">
        <v>117</v>
      </c>
      <c r="D4" s="252" t="s">
        <v>9</v>
      </c>
      <c r="E4" s="253" t="s">
        <v>109</v>
      </c>
      <c r="F4" s="138"/>
      <c r="G4" s="138"/>
      <c r="H4" s="138"/>
      <c r="I4" s="139"/>
      <c r="J4" s="138"/>
      <c r="K4" s="63"/>
      <c r="L4" s="56"/>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row>
    <row r="5" spans="1:161" s="37" customFormat="1" ht="19.5" customHeight="1" x14ac:dyDescent="0.2">
      <c r="A5" s="110" t="s">
        <v>49</v>
      </c>
      <c r="B5" s="114" t="s">
        <v>50</v>
      </c>
      <c r="C5" s="114"/>
      <c r="D5" s="62"/>
      <c r="E5" s="115"/>
      <c r="F5" s="138"/>
      <c r="G5" s="138"/>
      <c r="H5" s="144"/>
      <c r="I5" s="144"/>
      <c r="J5" s="139"/>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row>
    <row r="6" spans="1:161" s="37" customFormat="1" ht="17.25" customHeight="1" x14ac:dyDescent="0.2">
      <c r="A6" s="116">
        <v>1</v>
      </c>
      <c r="B6" s="114" t="s">
        <v>51</v>
      </c>
      <c r="C6" s="114"/>
      <c r="D6" s="62"/>
      <c r="E6" s="115"/>
      <c r="F6" s="138"/>
      <c r="G6" s="138"/>
      <c r="H6" s="144"/>
      <c r="I6" s="144"/>
      <c r="J6" s="139"/>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row>
    <row r="7" spans="1:161" s="37" customFormat="1" ht="11.4" x14ac:dyDescent="0.2">
      <c r="A7" s="103" t="s">
        <v>14</v>
      </c>
      <c r="B7" s="104" t="s">
        <v>52</v>
      </c>
      <c r="C7" s="468" t="str">
        <f>IF('Cover page'!N9="Not available","Data not available",IF('Income Statement'!N8="","Data not available",'Income Statement'!O8))</f>
        <v/>
      </c>
      <c r="D7" s="24" t="str">
        <f>IF(C7="","",IF(C7="Not applicable","-",IF(C7="Data not available",0,IF(C7&lt;75%,0,IF(C7&lt;80%,1,IF(C7&lt;90%,2,IF(C7&lt;=95%,3,IF(C7&gt;95%,4,0))))))))</f>
        <v/>
      </c>
      <c r="E7" s="19" t="str">
        <f>IF(C7="","",IF(C7="Not applicable","-",4))</f>
        <v/>
      </c>
      <c r="F7" s="138" t="str">
        <f>IF(D7="-",0,D7)</f>
        <v/>
      </c>
      <c r="G7" s="138" t="str">
        <f>IF(E7="-",0,E7)</f>
        <v/>
      </c>
      <c r="H7" s="138"/>
      <c r="I7" s="139"/>
      <c r="J7" s="138"/>
      <c r="K7" s="63"/>
      <c r="L7" s="56"/>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c r="FE7" s="74"/>
    </row>
    <row r="8" spans="1:161" s="37" customFormat="1" ht="11.4" x14ac:dyDescent="0.2">
      <c r="A8" s="103" t="s">
        <v>13</v>
      </c>
      <c r="B8" s="117" t="s">
        <v>53</v>
      </c>
      <c r="C8" s="468" t="str">
        <f>IF('Cover page'!N9="Not available","Data not available",IF('Income Statement'!N8="","Data not available",'Income Statement'!O25))</f>
        <v/>
      </c>
      <c r="D8" s="24" t="str">
        <f>IF(C8="","",IF(C8="Not applicable","-",IF(C8="Data not available",0,IF(C8&lt;75%,0,IF(C8&lt;80%,1,IF(C8&lt;90%,2,IF(C8&lt;=95%,3,IF(C8&gt;95%,4,0))))))))</f>
        <v/>
      </c>
      <c r="E8" s="19" t="str">
        <f>IF(C8="","",IF(C8="Not applicable","-",4))</f>
        <v/>
      </c>
      <c r="F8" s="138" t="str">
        <f>IF(D8="-",0,D8)</f>
        <v/>
      </c>
      <c r="G8" s="138" t="str">
        <f>IF(E8="-",0,E8)</f>
        <v/>
      </c>
      <c r="H8" s="138"/>
      <c r="I8" s="139"/>
      <c r="J8" s="138"/>
      <c r="K8" s="63"/>
      <c r="L8" s="56"/>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c r="FE8" s="74"/>
    </row>
    <row r="9" spans="1:161" s="37" customFormat="1" ht="12" x14ac:dyDescent="0.2">
      <c r="A9" s="260"/>
      <c r="B9" s="271" t="s">
        <v>45</v>
      </c>
      <c r="C9" s="271"/>
      <c r="D9" s="272" t="str">
        <f>IF(SUM(D7:D8)=0,"-",SUM(D7:D8))</f>
        <v>-</v>
      </c>
      <c r="E9" s="273" t="str">
        <f>IF(SUM(E7:E8)=0,"-",SUM(E7:E8))</f>
        <v>-</v>
      </c>
      <c r="F9" s="138">
        <f>SUM(F7:F8)</f>
        <v>0</v>
      </c>
      <c r="G9" s="138">
        <f>SUM(G7:G8)</f>
        <v>0</v>
      </c>
      <c r="H9" s="138"/>
      <c r="I9" s="139"/>
      <c r="J9" s="138"/>
      <c r="K9" s="63"/>
      <c r="L9" s="56"/>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c r="FE9" s="74"/>
    </row>
    <row r="10" spans="1:161" s="37" customFormat="1" ht="17.25" customHeight="1" x14ac:dyDescent="0.2">
      <c r="A10" s="116">
        <v>2</v>
      </c>
      <c r="B10" s="119" t="s">
        <v>54</v>
      </c>
      <c r="C10" s="119"/>
      <c r="D10" s="120"/>
      <c r="E10" s="121"/>
      <c r="F10" s="138"/>
      <c r="G10" s="138"/>
      <c r="H10" s="144"/>
      <c r="I10" s="145" t="s">
        <v>128</v>
      </c>
      <c r="J10" s="139"/>
      <c r="K10" s="56"/>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row>
    <row r="11" spans="1:161" s="37" customFormat="1" ht="11.4" x14ac:dyDescent="0.2">
      <c r="A11" s="103" t="s">
        <v>14</v>
      </c>
      <c r="B11" s="117" t="s">
        <v>55</v>
      </c>
      <c r="C11" s="117"/>
      <c r="D11" s="254">
        <v>3</v>
      </c>
      <c r="E11" s="19">
        <f>IF(D11="","",IF(D11="Not applicable","-",4))</f>
        <v>4</v>
      </c>
      <c r="F11" s="138"/>
      <c r="G11" s="138"/>
      <c r="H11" s="138"/>
      <c r="I11" s="145" t="s">
        <v>129</v>
      </c>
      <c r="J11" s="138"/>
      <c r="K11" s="63"/>
      <c r="L11" s="56"/>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c r="FE11" s="74"/>
    </row>
    <row r="12" spans="1:161" s="37" customFormat="1" ht="11.4" x14ac:dyDescent="0.2">
      <c r="A12" s="103" t="s">
        <v>13</v>
      </c>
      <c r="B12" s="117" t="s">
        <v>56</v>
      </c>
      <c r="C12" s="117"/>
      <c r="D12" s="254">
        <v>3</v>
      </c>
      <c r="E12" s="19">
        <f t="shared" ref="E12:E15" si="0">IF(D12="","",IF(D12="Not applicable","-",4))</f>
        <v>4</v>
      </c>
      <c r="F12" s="138"/>
      <c r="G12" s="138"/>
      <c r="H12" s="138"/>
      <c r="I12" s="139">
        <v>0</v>
      </c>
      <c r="J12" s="138"/>
      <c r="K12" s="63"/>
      <c r="L12" s="56"/>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c r="FE12" s="74"/>
    </row>
    <row r="13" spans="1:161" s="37" customFormat="1" ht="11.4" x14ac:dyDescent="0.2">
      <c r="A13" s="103" t="s">
        <v>27</v>
      </c>
      <c r="B13" s="117" t="s">
        <v>57</v>
      </c>
      <c r="C13" s="117"/>
      <c r="D13" s="254">
        <v>3</v>
      </c>
      <c r="E13" s="19">
        <f t="shared" si="0"/>
        <v>4</v>
      </c>
      <c r="F13" s="138"/>
      <c r="G13" s="138"/>
      <c r="H13" s="138"/>
      <c r="I13" s="139">
        <v>1</v>
      </c>
      <c r="J13" s="138"/>
      <c r="K13" s="63"/>
      <c r="L13" s="56"/>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row>
    <row r="14" spans="1:161" s="37" customFormat="1" ht="11.4" x14ac:dyDescent="0.2">
      <c r="A14" s="103" t="s">
        <v>12</v>
      </c>
      <c r="B14" s="117" t="s">
        <v>58</v>
      </c>
      <c r="C14" s="117"/>
      <c r="D14" s="254">
        <v>3</v>
      </c>
      <c r="E14" s="19">
        <f t="shared" si="0"/>
        <v>4</v>
      </c>
      <c r="F14" s="138"/>
      <c r="G14" s="138"/>
      <c r="H14" s="138"/>
      <c r="I14" s="139">
        <v>2</v>
      </c>
      <c r="J14" s="138"/>
      <c r="K14" s="63"/>
      <c r="L14" s="56"/>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c r="FE14" s="74"/>
    </row>
    <row r="15" spans="1:161" s="37" customFormat="1" ht="11.4" x14ac:dyDescent="0.2">
      <c r="A15" s="103" t="s">
        <v>37</v>
      </c>
      <c r="B15" s="117" t="s">
        <v>59</v>
      </c>
      <c r="C15" s="117"/>
      <c r="D15" s="254">
        <v>3</v>
      </c>
      <c r="E15" s="19">
        <f t="shared" si="0"/>
        <v>4</v>
      </c>
      <c r="F15" s="138"/>
      <c r="G15" s="138"/>
      <c r="H15" s="138"/>
      <c r="I15" s="139">
        <v>3</v>
      </c>
      <c r="J15" s="138"/>
      <c r="K15" s="63"/>
      <c r="L15" s="56"/>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c r="FE15" s="74"/>
    </row>
    <row r="16" spans="1:161" s="37" customFormat="1" ht="12" x14ac:dyDescent="0.2">
      <c r="A16" s="274"/>
      <c r="B16" s="271" t="s">
        <v>29</v>
      </c>
      <c r="C16" s="271"/>
      <c r="D16" s="275">
        <f>IF(SUM(D11:D15)=0,"-",SUM(D11:D15))</f>
        <v>15</v>
      </c>
      <c r="E16" s="273">
        <f>IF(SUM(E11:E15)=0,"-",SUM(E11:E15))</f>
        <v>20</v>
      </c>
      <c r="F16" s="138">
        <f>IF(D16="-",0,D16)</f>
        <v>15</v>
      </c>
      <c r="G16" s="138">
        <f>IF(E16="-",0,E16)</f>
        <v>20</v>
      </c>
      <c r="H16" s="138"/>
      <c r="I16" s="139">
        <v>4</v>
      </c>
      <c r="J16" s="138"/>
      <c r="K16" s="63"/>
      <c r="L16" s="56"/>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row>
    <row r="17" spans="1:161" s="37" customFormat="1" ht="12.6" thickBot="1" x14ac:dyDescent="0.25">
      <c r="A17" s="255"/>
      <c r="B17" s="276" t="s">
        <v>60</v>
      </c>
      <c r="C17" s="276"/>
      <c r="D17" s="277">
        <f>IF(F17=0,"-",F17)</f>
        <v>15</v>
      </c>
      <c r="E17" s="278">
        <f>IF(G17=0,"-",G17)</f>
        <v>20</v>
      </c>
      <c r="F17" s="138">
        <f>SUM(F9+F16)</f>
        <v>15</v>
      </c>
      <c r="G17" s="138">
        <f>SUM(G9+G16)</f>
        <v>20</v>
      </c>
      <c r="H17" s="138"/>
      <c r="I17" s="139"/>
      <c r="J17" s="138"/>
      <c r="K17" s="63"/>
      <c r="L17" s="56"/>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row>
    <row r="18" spans="1:161" s="37" customFormat="1" ht="6.75" customHeight="1" thickBot="1" x14ac:dyDescent="0.25">
      <c r="A18" s="231"/>
      <c r="B18" s="232"/>
      <c r="C18" s="232"/>
      <c r="D18" s="233"/>
      <c r="E18" s="234"/>
      <c r="F18" s="138"/>
      <c r="G18" s="138"/>
      <c r="H18" s="138"/>
      <c r="I18" s="139"/>
      <c r="J18" s="138"/>
      <c r="K18" s="63"/>
      <c r="L18" s="56"/>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row>
    <row r="19" spans="1:161" s="37" customFormat="1" ht="19.5" customHeight="1" x14ac:dyDescent="0.2">
      <c r="A19" s="70" t="s">
        <v>61</v>
      </c>
      <c r="B19" s="235" t="s">
        <v>62</v>
      </c>
      <c r="C19" s="235"/>
      <c r="D19" s="236"/>
      <c r="E19" s="237"/>
      <c r="F19" s="138"/>
      <c r="G19" s="138"/>
      <c r="H19" s="144"/>
      <c r="I19" s="144"/>
      <c r="J19" s="139"/>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row>
    <row r="20" spans="1:161" s="37" customFormat="1" ht="11.4" x14ac:dyDescent="0.2">
      <c r="A20" s="103">
        <v>1</v>
      </c>
      <c r="B20" s="117" t="s">
        <v>63</v>
      </c>
      <c r="C20" s="117"/>
      <c r="D20" s="254">
        <v>3</v>
      </c>
      <c r="E20" s="19">
        <f t="shared" ref="E20:E22" si="1">IF(D20="","",IF(D20="Not applicable","-",4))</f>
        <v>4</v>
      </c>
      <c r="F20" s="138"/>
      <c r="G20" s="138"/>
      <c r="H20" s="138"/>
      <c r="I20" s="139"/>
      <c r="J20" s="138"/>
      <c r="K20" s="63"/>
      <c r="L20" s="56"/>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c r="FE20" s="74"/>
    </row>
    <row r="21" spans="1:161" s="37" customFormat="1" ht="11.4" x14ac:dyDescent="0.2">
      <c r="A21" s="103">
        <v>2</v>
      </c>
      <c r="B21" s="117" t="s">
        <v>64</v>
      </c>
      <c r="C21" s="117"/>
      <c r="D21" s="254">
        <v>4</v>
      </c>
      <c r="E21" s="19">
        <f t="shared" si="1"/>
        <v>4</v>
      </c>
      <c r="F21" s="138"/>
      <c r="G21" s="138"/>
      <c r="H21" s="138"/>
      <c r="I21" s="139"/>
      <c r="J21" s="138"/>
      <c r="K21" s="63"/>
      <c r="L21" s="56"/>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c r="FE21" s="74"/>
    </row>
    <row r="22" spans="1:161" s="37" customFormat="1" ht="11.4" x14ac:dyDescent="0.2">
      <c r="A22" s="103">
        <v>3</v>
      </c>
      <c r="B22" s="117" t="s">
        <v>65</v>
      </c>
      <c r="C22" s="117"/>
      <c r="D22" s="254">
        <v>3</v>
      </c>
      <c r="E22" s="19">
        <f t="shared" si="1"/>
        <v>4</v>
      </c>
      <c r="F22" s="138"/>
      <c r="G22" s="138"/>
      <c r="H22" s="138"/>
      <c r="I22" s="139"/>
      <c r="J22" s="138"/>
      <c r="K22" s="63"/>
      <c r="L22" s="56"/>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c r="FE22" s="74"/>
    </row>
    <row r="23" spans="1:161" s="37" customFormat="1" ht="12.6" thickBot="1" x14ac:dyDescent="0.25">
      <c r="A23" s="259"/>
      <c r="B23" s="276" t="s">
        <v>66</v>
      </c>
      <c r="C23" s="276"/>
      <c r="D23" s="277">
        <f>IF(F23=0,"-",F23)</f>
        <v>10</v>
      </c>
      <c r="E23" s="278">
        <f>IF(G23=0,"-",G23)</f>
        <v>12</v>
      </c>
      <c r="F23" s="138">
        <f>SUM(D20:D22)</f>
        <v>10</v>
      </c>
      <c r="G23" s="138">
        <f>SUM(E20:E22)</f>
        <v>12</v>
      </c>
      <c r="H23" s="138"/>
      <c r="I23" s="139"/>
      <c r="J23" s="138"/>
      <c r="K23" s="63"/>
      <c r="L23" s="56"/>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c r="FE23" s="74"/>
    </row>
  </sheetData>
  <sheetProtection password="C445" sheet="1" objects="1" scenarios="1" selectLockedCells="1"/>
  <mergeCells count="3">
    <mergeCell ref="A1:B2"/>
    <mergeCell ref="D1:D2"/>
    <mergeCell ref="E1:E2"/>
  </mergeCells>
  <dataValidations count="4">
    <dataValidation type="custom" showInputMessage="1" showErrorMessage="1" error="Pls enter &quot;Data not allowed&quot; or &quot;Not applicable&quot; or valid ratio/number._x000a_If not applicable, then score out of will be zero, else score out of will be considered." sqref="C7:C8" xr:uid="{00000000-0002-0000-0B00-000000000000}">
      <formula1>OR(C7="Not applicable",C7="Data not available",AND(ISNUMBER(C7)))</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D11:D15 D20:D22" xr:uid="{00000000-0002-0000-0B00-000001000000}">
      <formula1>$I$10:$I$16</formula1>
    </dataValidation>
    <dataValidation type="custom" allowBlank="1" showInputMessage="1" showErrorMessage="1" error="No data required in this cell" sqref="E5:E6 E10" xr:uid="{00000000-0002-0000-0B00-000002000000}">
      <formula1>ISBLANK(E5)=TRUE</formula1>
    </dataValidation>
    <dataValidation type="custom" allowBlank="1" showInputMessage="1" showErrorMessage="1" error="Pls enter NA or a valid number" sqref="D6" xr:uid="{00000000-0002-0000-0B00-000003000000}">
      <formula1>OR(D6="NA",AND(ISNUMBER(D6)))</formula1>
    </dataValidation>
  </dataValidations>
  <pageMargins left="0.7" right="0.7" top="0.75" bottom="0.75" header="0.3" footer="0.3"/>
  <pageSetup paperSize="9" scale="87"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fitToPage="1"/>
  </sheetPr>
  <dimension ref="A1:H11"/>
  <sheetViews>
    <sheetView showGridLines="0" showRowColHeaders="0" workbookViewId="0">
      <selection activeCell="H6" sqref="H6"/>
    </sheetView>
  </sheetViews>
  <sheetFormatPr defaultColWidth="9.109375" defaultRowHeight="14.4" x14ac:dyDescent="0.3"/>
  <cols>
    <col min="1" max="1" width="21.88671875" style="98" customWidth="1"/>
    <col min="2" max="2" width="27.44140625" style="98" customWidth="1"/>
    <col min="3" max="3" width="19.33203125" style="98" customWidth="1"/>
    <col min="4" max="4" width="19.44140625" style="98" bestFit="1" customWidth="1"/>
    <col min="5" max="5" width="19.6640625" style="98" customWidth="1"/>
    <col min="6" max="6" width="15.33203125" style="98" customWidth="1"/>
    <col min="7" max="16384" width="9.109375" style="98"/>
  </cols>
  <sheetData>
    <row r="1" spans="1:8" x14ac:dyDescent="0.3">
      <c r="A1" s="279" t="s">
        <v>328</v>
      </c>
      <c r="B1" s="249"/>
      <c r="C1" s="249"/>
      <c r="D1" s="248" t="s">
        <v>111</v>
      </c>
      <c r="E1" s="562" t="str">
        <f>IF('Financial strength'!C6="","",'Financial strength'!C6)</f>
        <v/>
      </c>
      <c r="F1" s="562"/>
    </row>
    <row r="2" spans="1:8" ht="15" thickBot="1" x14ac:dyDescent="0.35"/>
    <row r="3" spans="1:8" s="129" customFormat="1" ht="18.75" customHeight="1" x14ac:dyDescent="0.3">
      <c r="A3" s="280" t="s">
        <v>103</v>
      </c>
      <c r="B3" s="281" t="s">
        <v>8</v>
      </c>
      <c r="C3" s="281" t="s">
        <v>109</v>
      </c>
      <c r="D3" s="281" t="s">
        <v>70</v>
      </c>
      <c r="E3" s="282" t="s">
        <v>20</v>
      </c>
      <c r="F3" s="283" t="s">
        <v>71</v>
      </c>
    </row>
    <row r="4" spans="1:8" x14ac:dyDescent="0.3">
      <c r="A4" s="150">
        <v>1</v>
      </c>
      <c r="B4" s="24" t="s">
        <v>68</v>
      </c>
      <c r="C4" s="166" t="str">
        <f>'Financial strength'!E45</f>
        <v>-</v>
      </c>
      <c r="D4" s="437"/>
      <c r="E4" s="484"/>
      <c r="F4" s="485"/>
      <c r="H4" s="98" t="s">
        <v>451</v>
      </c>
    </row>
    <row r="5" spans="1:8" x14ac:dyDescent="0.3">
      <c r="A5" s="150">
        <v>2</v>
      </c>
      <c r="B5" s="24" t="s">
        <v>69</v>
      </c>
      <c r="C5" s="166">
        <f>'Business performance - Trad'!D29</f>
        <v>56</v>
      </c>
      <c r="D5" s="437"/>
      <c r="E5" s="484"/>
      <c r="F5" s="485"/>
      <c r="H5" s="98" t="s">
        <v>452</v>
      </c>
    </row>
    <row r="6" spans="1:8" x14ac:dyDescent="0.3">
      <c r="A6" s="152">
        <v>3</v>
      </c>
      <c r="B6" s="24" t="s">
        <v>50</v>
      </c>
      <c r="C6" s="166">
        <f>'Mgt Eval &amp; Conduct of ac_Trad'!E17</f>
        <v>20</v>
      </c>
      <c r="D6" s="437"/>
      <c r="E6" s="484"/>
      <c r="F6" s="485"/>
    </row>
    <row r="7" spans="1:8" x14ac:dyDescent="0.3">
      <c r="A7" s="152">
        <v>4</v>
      </c>
      <c r="B7" s="24" t="s">
        <v>62</v>
      </c>
      <c r="C7" s="166">
        <f>'Mgt Eval &amp; Conduct of ac_Trad'!E23</f>
        <v>12</v>
      </c>
      <c r="D7" s="437"/>
      <c r="E7" s="484"/>
      <c r="F7" s="485"/>
    </row>
    <row r="8" spans="1:8" ht="24.75" customHeight="1" thickBot="1" x14ac:dyDescent="0.35">
      <c r="A8" s="557" t="s">
        <v>67</v>
      </c>
      <c r="B8" s="558"/>
      <c r="C8" s="558"/>
      <c r="D8" s="558"/>
      <c r="E8" s="559"/>
      <c r="F8" s="284">
        <f>SUM(F4:F7)/100</f>
        <v>0</v>
      </c>
    </row>
    <row r="9" spans="1:8" ht="15" thickBot="1" x14ac:dyDescent="0.35"/>
    <row r="10" spans="1:8" ht="15.6" x14ac:dyDescent="0.3">
      <c r="A10" s="285" t="s">
        <v>118</v>
      </c>
      <c r="B10" s="286" t="s">
        <v>119</v>
      </c>
      <c r="C10" s="560" t="s">
        <v>120</v>
      </c>
      <c r="D10" s="561"/>
    </row>
    <row r="11" spans="1:8" ht="16.2" thickBot="1" x14ac:dyDescent="0.35">
      <c r="A11" s="159">
        <f>F8</f>
        <v>0</v>
      </c>
      <c r="B11" s="160" t="str">
        <f>IF(A11="","",IF(A11="na","-",IF(A11&lt;=30%,"C",IF(A11&lt;=40%,"B",IF(A11&lt;=50%,"BB",IF(A11&lt;=60%,"BBB",IF(A11&lt;=70%,"A",IF(A11&lt;=80%,"AA",IF(A11&gt;80%,"AAA",0)))))))))</f>
        <v>C</v>
      </c>
      <c r="C11" s="552" t="str">
        <f>IF(B11="AAA","Minimum Risk",IF(B11="AA","Marginal Risk",IF(B11="A","Modest Risk",IF(B11="BBB","Average Risk",IF(B11="BB","Marginally acceptable Risk",IF(B11="B","High Risk",IF(B11="C","Caution",0)))))))</f>
        <v>Caution</v>
      </c>
      <c r="D11" s="553"/>
    </row>
  </sheetData>
  <sheetProtection selectLockedCells="1" selectUnlockedCells="1"/>
  <mergeCells count="4">
    <mergeCell ref="A8:E8"/>
    <mergeCell ref="C10:D10"/>
    <mergeCell ref="C11:D11"/>
    <mergeCell ref="E1:F1"/>
  </mergeCells>
  <pageMargins left="0.7" right="0.7" top="0.75" bottom="0.75" header="0.3" footer="0.3"/>
  <pageSetup paperSize="9"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A1:FD44"/>
  <sheetViews>
    <sheetView showGridLines="0" workbookViewId="0">
      <selection activeCell="C22" sqref="C22"/>
    </sheetView>
  </sheetViews>
  <sheetFormatPr defaultColWidth="9.109375" defaultRowHeight="14.4" x14ac:dyDescent="0.3"/>
  <cols>
    <col min="1" max="1" width="6.33203125" style="99" bestFit="1" customWidth="1"/>
    <col min="2" max="2" width="50.5546875" style="98" bestFit="1" customWidth="1"/>
    <col min="3" max="3" width="20.33203125" style="99" bestFit="1" customWidth="1"/>
    <col min="4" max="4" width="19.6640625" style="98" customWidth="1"/>
    <col min="5" max="8" width="9.109375" style="182"/>
    <col min="9" max="9" width="25.6640625" style="182" bestFit="1" customWidth="1"/>
    <col min="10" max="10" width="9.109375" style="182"/>
    <col min="11" max="12" width="9.109375" style="148"/>
    <col min="13" max="16384" width="9.109375" style="98"/>
  </cols>
  <sheetData>
    <row r="1" spans="1:160" x14ac:dyDescent="0.3">
      <c r="A1" s="200" t="s">
        <v>43</v>
      </c>
      <c r="B1" s="201" t="s">
        <v>273</v>
      </c>
      <c r="C1" s="202" t="s">
        <v>111</v>
      </c>
      <c r="D1" s="203" t="str">
        <f>IF('Financial strength'!C6="","",'Financial strength'!C6)</f>
        <v/>
      </c>
    </row>
    <row r="2" spans="1:160" ht="15" thickBot="1" x14ac:dyDescent="0.35"/>
    <row r="3" spans="1:160" s="37" customFormat="1" ht="20.25" customHeight="1" thickBot="1" x14ac:dyDescent="0.25">
      <c r="A3" s="204" t="s">
        <v>103</v>
      </c>
      <c r="B3" s="205" t="s">
        <v>8</v>
      </c>
      <c r="C3" s="206" t="s">
        <v>9</v>
      </c>
      <c r="D3" s="207" t="s">
        <v>109</v>
      </c>
      <c r="E3" s="138"/>
      <c r="F3" s="138"/>
      <c r="G3" s="138"/>
      <c r="H3" s="139"/>
      <c r="I3" s="138"/>
      <c r="J3" s="139"/>
      <c r="K3" s="56"/>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row>
    <row r="4" spans="1:160" s="37" customFormat="1" ht="16.5" customHeight="1" x14ac:dyDescent="0.2">
      <c r="A4" s="70">
        <v>1</v>
      </c>
      <c r="B4" s="71" t="s">
        <v>274</v>
      </c>
      <c r="C4" s="56"/>
      <c r="D4" s="102"/>
      <c r="E4" s="138"/>
      <c r="F4" s="138"/>
      <c r="G4" s="144"/>
      <c r="H4" s="144"/>
      <c r="I4" s="139"/>
      <c r="J4" s="138"/>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c r="CJ4" s="74"/>
      <c r="CK4" s="74"/>
      <c r="CL4" s="74"/>
      <c r="CM4" s="74"/>
      <c r="CN4" s="74"/>
      <c r="CO4" s="74"/>
      <c r="CP4" s="74"/>
      <c r="CQ4" s="74"/>
      <c r="CR4" s="74"/>
      <c r="CS4" s="74"/>
      <c r="CT4" s="74"/>
      <c r="CU4" s="74"/>
      <c r="CV4" s="74"/>
      <c r="CW4" s="74"/>
      <c r="CX4" s="74"/>
      <c r="CY4" s="74"/>
      <c r="CZ4" s="74"/>
      <c r="DA4" s="74"/>
      <c r="DB4" s="74"/>
      <c r="DC4" s="74"/>
      <c r="DD4" s="74"/>
      <c r="DE4" s="74"/>
      <c r="DF4" s="74"/>
      <c r="DG4" s="74"/>
      <c r="DH4" s="74"/>
      <c r="DI4" s="74"/>
      <c r="DJ4" s="74"/>
      <c r="DK4" s="74"/>
      <c r="DL4" s="74"/>
      <c r="DM4" s="74"/>
      <c r="DN4" s="74"/>
      <c r="DO4" s="74"/>
      <c r="DP4" s="74"/>
      <c r="DQ4" s="74"/>
      <c r="DR4" s="74"/>
      <c r="DS4" s="74"/>
      <c r="DT4" s="74"/>
      <c r="DU4" s="74"/>
      <c r="DV4" s="74"/>
      <c r="DW4" s="74"/>
      <c r="DX4" s="74"/>
      <c r="DY4" s="74"/>
      <c r="DZ4" s="74"/>
      <c r="EA4" s="74"/>
      <c r="EB4" s="74"/>
      <c r="EC4" s="74"/>
      <c r="ED4" s="74"/>
      <c r="EE4" s="74"/>
      <c r="EF4" s="74"/>
      <c r="EG4" s="74"/>
      <c r="EH4" s="74"/>
      <c r="EI4" s="74"/>
      <c r="EJ4" s="74"/>
      <c r="EK4" s="74"/>
      <c r="EL4" s="74"/>
      <c r="EM4" s="74"/>
      <c r="EN4" s="74"/>
      <c r="EO4" s="74"/>
      <c r="EP4" s="74"/>
      <c r="EQ4" s="74"/>
      <c r="ER4" s="74"/>
      <c r="ES4" s="74"/>
      <c r="ET4" s="74"/>
      <c r="EU4" s="74"/>
      <c r="EV4" s="74"/>
      <c r="EW4" s="74"/>
      <c r="EX4" s="74"/>
      <c r="EY4" s="74"/>
    </row>
    <row r="5" spans="1:160" s="37" customFormat="1" ht="11.4" x14ac:dyDescent="0.2">
      <c r="A5" s="103" t="s">
        <v>14</v>
      </c>
      <c r="B5" s="104" t="s">
        <v>275</v>
      </c>
      <c r="C5" s="208">
        <v>0</v>
      </c>
      <c r="D5" s="19">
        <f>IF(C5="","",IF(C5="Not applicable","-",4))</f>
        <v>4</v>
      </c>
      <c r="E5" s="138"/>
      <c r="F5" s="138"/>
      <c r="G5" s="138" t="s">
        <v>128</v>
      </c>
      <c r="H5" s="139"/>
      <c r="I5" s="138"/>
      <c r="J5" s="139"/>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c r="FA5" s="74"/>
      <c r="FB5" s="74"/>
      <c r="FC5" s="74"/>
      <c r="FD5" s="74"/>
    </row>
    <row r="6" spans="1:160" s="37" customFormat="1" ht="11.4" x14ac:dyDescent="0.2">
      <c r="A6" s="103" t="s">
        <v>13</v>
      </c>
      <c r="B6" s="104" t="s">
        <v>276</v>
      </c>
      <c r="C6" s="208">
        <v>2</v>
      </c>
      <c r="D6" s="19">
        <f t="shared" ref="D6:D9" si="0">IF(C6="","",IF(C6="Not applicable","-",4))</f>
        <v>4</v>
      </c>
      <c r="E6" s="138"/>
      <c r="F6" s="138"/>
      <c r="G6" s="145" t="s">
        <v>129</v>
      </c>
      <c r="H6" s="139"/>
      <c r="I6" s="138"/>
      <c r="J6" s="139"/>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row>
    <row r="7" spans="1:160" s="37" customFormat="1" ht="11.4" x14ac:dyDescent="0.2">
      <c r="A7" s="103" t="s">
        <v>27</v>
      </c>
      <c r="B7" s="104" t="s">
        <v>277</v>
      </c>
      <c r="C7" s="208">
        <v>1</v>
      </c>
      <c r="D7" s="19">
        <f t="shared" si="0"/>
        <v>4</v>
      </c>
      <c r="E7" s="138"/>
      <c r="F7" s="138"/>
      <c r="G7" s="145">
        <v>0</v>
      </c>
      <c r="H7" s="139"/>
      <c r="I7" s="138"/>
      <c r="J7" s="139"/>
      <c r="K7" s="56"/>
      <c r="L7" s="74"/>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row>
    <row r="8" spans="1:160" s="37" customFormat="1" ht="11.4" x14ac:dyDescent="0.2">
      <c r="A8" s="103" t="s">
        <v>12</v>
      </c>
      <c r="B8" s="104" t="s">
        <v>278</v>
      </c>
      <c r="C8" s="208">
        <v>2</v>
      </c>
      <c r="D8" s="19">
        <f t="shared" si="0"/>
        <v>4</v>
      </c>
      <c r="E8" s="138"/>
      <c r="F8" s="138"/>
      <c r="G8" s="138">
        <v>1</v>
      </c>
      <c r="H8" s="139"/>
      <c r="I8" s="138"/>
      <c r="J8" s="139"/>
      <c r="K8" s="56"/>
      <c r="L8" s="74"/>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row>
    <row r="9" spans="1:160" s="37" customFormat="1" ht="11.4" x14ac:dyDescent="0.2">
      <c r="A9" s="103" t="s">
        <v>37</v>
      </c>
      <c r="B9" s="104" t="s">
        <v>279</v>
      </c>
      <c r="C9" s="208">
        <v>2</v>
      </c>
      <c r="D9" s="19">
        <f t="shared" si="0"/>
        <v>4</v>
      </c>
      <c r="E9" s="138"/>
      <c r="F9" s="138"/>
      <c r="G9" s="138">
        <v>2</v>
      </c>
      <c r="H9" s="139"/>
      <c r="I9" s="138"/>
      <c r="J9" s="139"/>
      <c r="K9" s="56"/>
      <c r="L9" s="74"/>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row>
    <row r="10" spans="1:160" s="37" customFormat="1" ht="12.6" thickBot="1" x14ac:dyDescent="0.25">
      <c r="A10" s="209"/>
      <c r="B10" s="210" t="s">
        <v>45</v>
      </c>
      <c r="C10" s="211">
        <f>IF(SUM(C5:C9)=0,"-",SUM(C5:C9))</f>
        <v>7</v>
      </c>
      <c r="D10" s="212">
        <f>IF(SUM(D5:D9)=0,"-",SUM(D5:D9))</f>
        <v>20</v>
      </c>
      <c r="E10" s="138">
        <f>IF(C10="-",0,C10)</f>
        <v>7</v>
      </c>
      <c r="F10" s="138">
        <f>IF(D10="-",0,D10)</f>
        <v>20</v>
      </c>
      <c r="G10" s="138">
        <v>3</v>
      </c>
      <c r="H10" s="139"/>
      <c r="I10" s="138"/>
      <c r="J10" s="139"/>
      <c r="K10" s="56"/>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c r="FA10" s="74"/>
      <c r="FB10" s="74"/>
      <c r="FC10" s="74"/>
      <c r="FD10" s="74"/>
    </row>
    <row r="11" spans="1:160" s="37" customFormat="1" ht="16.5" customHeight="1" x14ac:dyDescent="0.2">
      <c r="A11" s="70">
        <v>2</v>
      </c>
      <c r="B11" s="71" t="s">
        <v>280</v>
      </c>
      <c r="C11" s="56"/>
      <c r="D11" s="102"/>
      <c r="E11" s="138"/>
      <c r="F11" s="138"/>
      <c r="G11" s="138">
        <v>4</v>
      </c>
      <c r="H11" s="144"/>
      <c r="I11" s="139"/>
      <c r="J11" s="138"/>
      <c r="K11" s="74"/>
      <c r="L11" s="74"/>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row>
    <row r="12" spans="1:160" s="37" customFormat="1" ht="11.4" x14ac:dyDescent="0.2">
      <c r="A12" s="103" t="s">
        <v>14</v>
      </c>
      <c r="B12" s="104" t="s">
        <v>281</v>
      </c>
      <c r="C12" s="208">
        <v>2</v>
      </c>
      <c r="D12" s="19">
        <f t="shared" ref="D12:D16" si="1">IF(C12="","",IF(C12="Not applicable","-",4))</f>
        <v>4</v>
      </c>
      <c r="E12" s="138"/>
      <c r="F12" s="138"/>
      <c r="G12" s="138"/>
      <c r="H12" s="139"/>
      <c r="I12" s="138"/>
      <c r="J12" s="139"/>
      <c r="K12" s="56"/>
      <c r="L12" s="74"/>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row>
    <row r="13" spans="1:160" s="37" customFormat="1" ht="11.4" x14ac:dyDescent="0.2">
      <c r="A13" s="103" t="s">
        <v>13</v>
      </c>
      <c r="B13" s="104" t="s">
        <v>282</v>
      </c>
      <c r="C13" s="208">
        <v>3</v>
      </c>
      <c r="D13" s="19">
        <f t="shared" si="1"/>
        <v>4</v>
      </c>
      <c r="E13" s="138"/>
      <c r="F13" s="138"/>
      <c r="G13" s="138"/>
      <c r="H13" s="139"/>
      <c r="I13" s="138"/>
      <c r="J13" s="139"/>
      <c r="K13" s="56"/>
      <c r="L13" s="74"/>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row>
    <row r="14" spans="1:160" s="37" customFormat="1" ht="11.4" x14ac:dyDescent="0.2">
      <c r="A14" s="213" t="s">
        <v>27</v>
      </c>
      <c r="B14" s="214" t="s">
        <v>283</v>
      </c>
      <c r="C14" s="208">
        <v>2</v>
      </c>
      <c r="D14" s="19">
        <f t="shared" si="1"/>
        <v>4</v>
      </c>
      <c r="E14" s="138"/>
      <c r="F14" s="138"/>
      <c r="G14" s="138"/>
      <c r="H14" s="139"/>
      <c r="I14" s="138"/>
      <c r="J14" s="139"/>
      <c r="K14" s="56"/>
      <c r="L14" s="74"/>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row>
    <row r="15" spans="1:160" s="37" customFormat="1" ht="11.4" x14ac:dyDescent="0.2">
      <c r="A15" s="213" t="s">
        <v>12</v>
      </c>
      <c r="B15" s="214" t="s">
        <v>284</v>
      </c>
      <c r="C15" s="208">
        <v>2</v>
      </c>
      <c r="D15" s="19">
        <f t="shared" si="1"/>
        <v>4</v>
      </c>
      <c r="E15" s="138"/>
      <c r="F15" s="138"/>
      <c r="G15" s="138"/>
      <c r="H15" s="139"/>
      <c r="I15" s="138"/>
      <c r="J15" s="139"/>
      <c r="K15" s="56"/>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row>
    <row r="16" spans="1:160" s="37" customFormat="1" ht="11.4" x14ac:dyDescent="0.2">
      <c r="A16" s="213" t="s">
        <v>37</v>
      </c>
      <c r="B16" s="214" t="s">
        <v>285</v>
      </c>
      <c r="C16" s="208">
        <v>2</v>
      </c>
      <c r="D16" s="19">
        <f t="shared" si="1"/>
        <v>4</v>
      </c>
      <c r="E16" s="138"/>
      <c r="F16" s="138"/>
      <c r="G16" s="138"/>
      <c r="H16" s="139"/>
      <c r="I16" s="138"/>
      <c r="J16" s="139"/>
      <c r="K16" s="56"/>
      <c r="L16" s="74"/>
      <c r="M16" s="74"/>
      <c r="N16" s="74"/>
      <c r="O16" s="74"/>
      <c r="P16" s="74"/>
      <c r="Q16" s="74"/>
      <c r="R16" s="74"/>
      <c r="S16" s="74"/>
      <c r="T16" s="74"/>
      <c r="U16" s="74"/>
      <c r="V16" s="74"/>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c r="EZ16" s="74"/>
      <c r="FA16" s="74"/>
      <c r="FB16" s="74"/>
      <c r="FC16" s="74"/>
      <c r="FD16" s="74"/>
    </row>
    <row r="17" spans="1:160" s="37" customFormat="1" ht="12.6" thickBot="1" x14ac:dyDescent="0.25">
      <c r="A17" s="215"/>
      <c r="B17" s="210" t="s">
        <v>29</v>
      </c>
      <c r="C17" s="211">
        <f>IF(SUM(C12:C16)=0,"-",SUM(C12:C16))</f>
        <v>11</v>
      </c>
      <c r="D17" s="212">
        <f>IF(SUM(D12:D16)=0,"-",SUM(D12:D16))</f>
        <v>20</v>
      </c>
      <c r="E17" s="138">
        <f>IF(C17="-",0,C17)</f>
        <v>11</v>
      </c>
      <c r="F17" s="138">
        <f>IF(D17="-",0,D17)</f>
        <v>20</v>
      </c>
      <c r="G17" s="138"/>
      <c r="H17" s="139"/>
      <c r="I17" s="138" t="s">
        <v>124</v>
      </c>
      <c r="J17" s="139"/>
      <c r="K17" s="56"/>
      <c r="L17" s="74"/>
      <c r="M17" s="74"/>
      <c r="N17" s="74"/>
      <c r="O17" s="74"/>
      <c r="P17" s="74"/>
      <c r="Q17" s="74"/>
      <c r="R17" s="74"/>
      <c r="S17" s="74"/>
      <c r="T17" s="74"/>
      <c r="U17" s="74"/>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c r="EZ17" s="74"/>
      <c r="FA17" s="74"/>
      <c r="FB17" s="74"/>
      <c r="FC17" s="74"/>
      <c r="FD17" s="74"/>
    </row>
    <row r="18" spans="1:160" s="37" customFormat="1" ht="16.5" customHeight="1" x14ac:dyDescent="0.2">
      <c r="A18" s="70">
        <v>3</v>
      </c>
      <c r="B18" s="71" t="s">
        <v>286</v>
      </c>
      <c r="C18" s="56"/>
      <c r="D18" s="102"/>
      <c r="E18" s="138"/>
      <c r="F18" s="138"/>
      <c r="G18" s="144"/>
      <c r="H18" s="144"/>
      <c r="I18" s="144"/>
      <c r="J18" s="178"/>
      <c r="K18" s="74"/>
      <c r="L18" s="74"/>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row>
    <row r="19" spans="1:160" s="37" customFormat="1" ht="11.4" x14ac:dyDescent="0.2">
      <c r="A19" s="103" t="s">
        <v>14</v>
      </c>
      <c r="B19" s="109" t="s">
        <v>287</v>
      </c>
      <c r="C19" s="208">
        <v>2</v>
      </c>
      <c r="D19" s="19">
        <f t="shared" ref="D19:D25" si="2">IF(C19="","",IF(C19="Not applicable","-",4))</f>
        <v>4</v>
      </c>
      <c r="E19" s="138"/>
      <c r="F19" s="138"/>
      <c r="G19" s="138"/>
      <c r="H19" s="139"/>
      <c r="I19" s="138" t="s">
        <v>128</v>
      </c>
      <c r="J19" s="178" t="s">
        <v>130</v>
      </c>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c r="FA19" s="74"/>
      <c r="FB19" s="74"/>
      <c r="FC19" s="74"/>
      <c r="FD19" s="74"/>
    </row>
    <row r="20" spans="1:160" s="37" customFormat="1" ht="11.4" x14ac:dyDescent="0.2">
      <c r="A20" s="103" t="s">
        <v>13</v>
      </c>
      <c r="B20" s="104" t="s">
        <v>288</v>
      </c>
      <c r="C20" s="208">
        <v>2</v>
      </c>
      <c r="D20" s="19">
        <f t="shared" si="2"/>
        <v>4</v>
      </c>
      <c r="E20" s="138"/>
      <c r="F20" s="138"/>
      <c r="G20" s="138"/>
      <c r="H20" s="139"/>
      <c r="I20" s="138" t="s">
        <v>125</v>
      </c>
      <c r="J20" s="139">
        <f>IF(C41*1.2&gt;D41,D41,C41*1.2)</f>
        <v>56.4</v>
      </c>
      <c r="K20" s="56"/>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row>
    <row r="21" spans="1:160" s="37" customFormat="1" ht="11.4" x14ac:dyDescent="0.2">
      <c r="A21" s="103" t="s">
        <v>27</v>
      </c>
      <c r="B21" s="104" t="s">
        <v>289</v>
      </c>
      <c r="C21" s="208">
        <v>2</v>
      </c>
      <c r="D21" s="19">
        <f t="shared" si="2"/>
        <v>4</v>
      </c>
      <c r="E21" s="138"/>
      <c r="F21" s="138"/>
      <c r="G21" s="138"/>
      <c r="H21" s="139"/>
      <c r="I21" s="139" t="s">
        <v>126</v>
      </c>
      <c r="J21" s="139">
        <f>C41</f>
        <v>47</v>
      </c>
      <c r="K21" s="56"/>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row>
    <row r="22" spans="1:160" s="37" customFormat="1" ht="11.4" x14ac:dyDescent="0.2">
      <c r="A22" s="103" t="s">
        <v>12</v>
      </c>
      <c r="B22" s="104" t="s">
        <v>290</v>
      </c>
      <c r="C22" s="208">
        <v>2</v>
      </c>
      <c r="D22" s="19">
        <f t="shared" si="2"/>
        <v>4</v>
      </c>
      <c r="E22" s="138"/>
      <c r="F22" s="138"/>
      <c r="G22" s="138"/>
      <c r="H22" s="139"/>
      <c r="I22" s="138" t="s">
        <v>127</v>
      </c>
      <c r="J22" s="139">
        <f>C41*0.8</f>
        <v>37.6</v>
      </c>
      <c r="K22" s="56"/>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row>
    <row r="23" spans="1:160" s="37" customFormat="1" ht="11.4" x14ac:dyDescent="0.2">
      <c r="A23" s="216" t="s">
        <v>37</v>
      </c>
      <c r="B23" s="214" t="s">
        <v>291</v>
      </c>
      <c r="C23" s="217">
        <v>2</v>
      </c>
      <c r="D23" s="19">
        <f t="shared" si="2"/>
        <v>4</v>
      </c>
      <c r="E23" s="138"/>
      <c r="F23" s="138"/>
      <c r="G23" s="138"/>
      <c r="H23" s="139"/>
      <c r="I23" s="144"/>
      <c r="J23" s="139"/>
      <c r="K23" s="56"/>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row>
    <row r="24" spans="1:160" s="37" customFormat="1" ht="11.4" x14ac:dyDescent="0.2">
      <c r="A24" s="216" t="s">
        <v>44</v>
      </c>
      <c r="B24" s="214" t="s">
        <v>292</v>
      </c>
      <c r="C24" s="217">
        <v>2</v>
      </c>
      <c r="D24" s="19">
        <f t="shared" si="2"/>
        <v>4</v>
      </c>
      <c r="E24" s="138"/>
      <c r="F24" s="138"/>
      <c r="G24" s="138"/>
      <c r="H24" s="139"/>
      <c r="I24" s="138"/>
      <c r="J24" s="139"/>
      <c r="K24" s="56"/>
      <c r="L24" s="74"/>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c r="EZ24" s="74"/>
      <c r="FA24" s="74"/>
      <c r="FB24" s="74"/>
      <c r="FC24" s="74"/>
      <c r="FD24" s="74"/>
    </row>
    <row r="25" spans="1:160" s="37" customFormat="1" ht="11.4" x14ac:dyDescent="0.2">
      <c r="A25" s="216" t="s">
        <v>293</v>
      </c>
      <c r="B25" s="214" t="s">
        <v>294</v>
      </c>
      <c r="C25" s="217">
        <v>2</v>
      </c>
      <c r="D25" s="19">
        <f t="shared" si="2"/>
        <v>4</v>
      </c>
      <c r="E25" s="138"/>
      <c r="F25" s="138"/>
      <c r="G25" s="138"/>
      <c r="H25" s="139"/>
      <c r="I25" s="138"/>
      <c r="J25" s="139"/>
      <c r="K25" s="56"/>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c r="EZ25" s="74"/>
      <c r="FA25" s="74"/>
      <c r="FB25" s="74"/>
      <c r="FC25" s="74"/>
      <c r="FD25" s="74"/>
    </row>
    <row r="26" spans="1:160" s="37" customFormat="1" ht="12.6" thickBot="1" x14ac:dyDescent="0.25">
      <c r="A26" s="215"/>
      <c r="B26" s="210" t="s">
        <v>39</v>
      </c>
      <c r="C26" s="211">
        <f>IF(SUM(C19:C25)=0,"-",SUM(C19:C25))</f>
        <v>14</v>
      </c>
      <c r="D26" s="212">
        <f>IF(SUM(D19:D25)=0,"-",SUM(D19:D25))</f>
        <v>28</v>
      </c>
      <c r="E26" s="138">
        <f>IF(C26="-",0,C26)</f>
        <v>14</v>
      </c>
      <c r="F26" s="138">
        <f>IF(D26="-",0,D26)</f>
        <v>28</v>
      </c>
      <c r="G26" s="138"/>
      <c r="H26" s="139"/>
      <c r="I26" s="138"/>
      <c r="J26" s="139"/>
      <c r="K26" s="56"/>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c r="EZ26" s="74"/>
      <c r="FA26" s="74"/>
      <c r="FB26" s="74"/>
      <c r="FC26" s="74"/>
      <c r="FD26" s="74"/>
    </row>
    <row r="27" spans="1:160" s="37" customFormat="1" ht="16.5" customHeight="1" x14ac:dyDescent="0.2">
      <c r="A27" s="70">
        <v>4</v>
      </c>
      <c r="B27" s="71" t="s">
        <v>295</v>
      </c>
      <c r="C27" s="56"/>
      <c r="D27" s="102"/>
      <c r="E27" s="138"/>
      <c r="F27" s="138"/>
      <c r="G27" s="144"/>
      <c r="H27" s="144"/>
      <c r="I27" s="139"/>
      <c r="J27" s="138"/>
      <c r="K27" s="74"/>
      <c r="L27" s="74"/>
      <c r="M27" s="74"/>
      <c r="N27" s="74"/>
      <c r="O27" s="74"/>
      <c r="P27" s="74"/>
      <c r="Q27" s="74"/>
      <c r="R27" s="74"/>
      <c r="S27" s="74"/>
      <c r="T27" s="74"/>
      <c r="U27" s="74"/>
      <c r="V27" s="74"/>
      <c r="W27" s="74"/>
      <c r="X27" s="74"/>
      <c r="Y27" s="74"/>
      <c r="Z27" s="74"/>
      <c r="AA27" s="74"/>
      <c r="AB27" s="74"/>
      <c r="AC27" s="74"/>
      <c r="AD27" s="74"/>
      <c r="AE27" s="74"/>
      <c r="AF27" s="74"/>
      <c r="AG27" s="74"/>
      <c r="AH27" s="74"/>
      <c r="AI27" s="74"/>
      <c r="AJ27" s="74"/>
      <c r="AK27" s="74"/>
      <c r="AL27" s="74"/>
      <c r="AM27" s="74"/>
      <c r="AN27" s="74"/>
      <c r="AO27" s="74"/>
      <c r="AP27" s="74"/>
      <c r="AQ27" s="74"/>
      <c r="AR27" s="74"/>
      <c r="AS27" s="74"/>
      <c r="AT27" s="74"/>
      <c r="AU27" s="74"/>
      <c r="AV27" s="74"/>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c r="BU27" s="74"/>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c r="CV27" s="74"/>
      <c r="CW27" s="74"/>
      <c r="CX27" s="74"/>
      <c r="CY27" s="74"/>
      <c r="CZ27" s="74"/>
      <c r="DA27" s="74"/>
      <c r="DB27" s="74"/>
      <c r="DC27" s="74"/>
      <c r="DD27" s="74"/>
      <c r="DE27" s="74"/>
      <c r="DF27" s="74"/>
      <c r="DG27" s="74"/>
      <c r="DH27" s="74"/>
      <c r="DI27" s="74"/>
      <c r="DJ27" s="74"/>
      <c r="DK27" s="74"/>
      <c r="DL27" s="74"/>
      <c r="DM27" s="74"/>
      <c r="DN27" s="74"/>
      <c r="DO27" s="74"/>
      <c r="DP27" s="74"/>
      <c r="DQ27" s="74"/>
      <c r="DR27" s="74"/>
      <c r="DS27" s="74"/>
      <c r="DT27" s="74"/>
      <c r="DU27" s="74"/>
      <c r="DV27" s="74"/>
      <c r="DW27" s="74"/>
      <c r="DX27" s="74"/>
      <c r="DY27" s="74"/>
      <c r="DZ27" s="74"/>
      <c r="EA27" s="74"/>
      <c r="EB27" s="74"/>
      <c r="EC27" s="74"/>
      <c r="ED27" s="74"/>
      <c r="EE27" s="74"/>
      <c r="EF27" s="74"/>
      <c r="EG27" s="74"/>
      <c r="EH27" s="74"/>
      <c r="EI27" s="74"/>
      <c r="EJ27" s="74"/>
      <c r="EK27" s="74"/>
      <c r="EL27" s="74"/>
      <c r="EM27" s="74"/>
      <c r="EN27" s="74"/>
      <c r="EO27" s="74"/>
      <c r="EP27" s="74"/>
      <c r="EQ27" s="74"/>
      <c r="ER27" s="74"/>
      <c r="ES27" s="74"/>
      <c r="ET27" s="74"/>
      <c r="EU27" s="74"/>
      <c r="EV27" s="74"/>
      <c r="EW27" s="74"/>
      <c r="EX27" s="74"/>
      <c r="EY27" s="74"/>
    </row>
    <row r="28" spans="1:160" s="37" customFormat="1" ht="11.4" x14ac:dyDescent="0.2">
      <c r="A28" s="103" t="s">
        <v>14</v>
      </c>
      <c r="B28" s="104" t="s">
        <v>296</v>
      </c>
      <c r="C28" s="208">
        <v>2</v>
      </c>
      <c r="D28" s="19">
        <f t="shared" ref="D28:D31" si="3">IF(C28="","",IF(C28="Not applicable","-",4))</f>
        <v>4</v>
      </c>
      <c r="E28" s="138"/>
      <c r="F28" s="138"/>
      <c r="G28" s="138"/>
      <c r="H28" s="139"/>
      <c r="I28" s="138"/>
      <c r="J28" s="139"/>
      <c r="K28" s="56"/>
      <c r="L28" s="74"/>
      <c r="M28" s="74"/>
      <c r="N28" s="74"/>
      <c r="O28" s="74"/>
      <c r="P28" s="74"/>
      <c r="Q28" s="74"/>
      <c r="R28" s="74"/>
      <c r="S28" s="74"/>
      <c r="T28" s="74"/>
      <c r="U28" s="74"/>
      <c r="V28" s="74"/>
      <c r="W28" s="74"/>
      <c r="X28" s="74"/>
      <c r="Y28" s="74"/>
      <c r="Z28" s="74"/>
      <c r="AA28" s="74"/>
      <c r="AB28" s="74"/>
      <c r="AC28" s="74"/>
      <c r="AD28" s="74"/>
      <c r="AE28" s="74"/>
      <c r="AF28" s="74"/>
      <c r="AG28" s="74"/>
      <c r="AH28" s="74"/>
      <c r="AI28" s="74"/>
      <c r="AJ28" s="74"/>
      <c r="AK28" s="74"/>
      <c r="AL28" s="74"/>
      <c r="AM28" s="74"/>
      <c r="AN28" s="74"/>
      <c r="AO28" s="74"/>
      <c r="AP28" s="74"/>
      <c r="AQ28" s="74"/>
      <c r="AR28" s="74"/>
      <c r="AS28" s="74"/>
      <c r="AT28" s="74"/>
      <c r="AU28" s="74"/>
      <c r="AV28" s="74"/>
      <c r="AW28" s="74"/>
      <c r="AX28" s="74"/>
      <c r="AY28" s="74"/>
      <c r="AZ28" s="74"/>
      <c r="BA28" s="74"/>
      <c r="BB28" s="74"/>
      <c r="BC28" s="74"/>
      <c r="BD28" s="74"/>
      <c r="BE28" s="74"/>
      <c r="BF28" s="74"/>
      <c r="BG28" s="74"/>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4"/>
      <c r="CX28" s="74"/>
      <c r="CY28" s="74"/>
      <c r="CZ28" s="74"/>
      <c r="DA28" s="74"/>
      <c r="DB28" s="74"/>
      <c r="DC28" s="74"/>
      <c r="DD28" s="74"/>
      <c r="DE28" s="74"/>
      <c r="DF28" s="74"/>
      <c r="DG28" s="74"/>
      <c r="DH28" s="74"/>
      <c r="DI28" s="74"/>
      <c r="DJ28" s="74"/>
      <c r="DK28" s="74"/>
      <c r="DL28" s="74"/>
      <c r="DM28" s="74"/>
      <c r="DN28" s="74"/>
      <c r="DO28" s="74"/>
      <c r="DP28" s="74"/>
      <c r="DQ28" s="74"/>
      <c r="DR28" s="74"/>
      <c r="DS28" s="74"/>
      <c r="DT28" s="74"/>
      <c r="DU28" s="74"/>
      <c r="DV28" s="74"/>
      <c r="DW28" s="74"/>
      <c r="DX28" s="74"/>
      <c r="DY28" s="74"/>
      <c r="DZ28" s="74"/>
      <c r="EA28" s="74"/>
      <c r="EB28" s="74"/>
      <c r="EC28" s="74"/>
      <c r="ED28" s="74"/>
      <c r="EE28" s="74"/>
      <c r="EF28" s="74"/>
      <c r="EG28" s="74"/>
      <c r="EH28" s="74"/>
      <c r="EI28" s="74"/>
      <c r="EJ28" s="74"/>
      <c r="EK28" s="74"/>
      <c r="EL28" s="74"/>
      <c r="EM28" s="74"/>
      <c r="EN28" s="74"/>
      <c r="EO28" s="74"/>
      <c r="EP28" s="74"/>
      <c r="EQ28" s="74"/>
      <c r="ER28" s="74"/>
      <c r="ES28" s="74"/>
      <c r="ET28" s="74"/>
      <c r="EU28" s="74"/>
      <c r="EV28" s="74"/>
      <c r="EW28" s="74"/>
      <c r="EX28" s="74"/>
      <c r="EY28" s="74"/>
      <c r="EZ28" s="74"/>
      <c r="FA28" s="74"/>
      <c r="FB28" s="74"/>
      <c r="FC28" s="74"/>
      <c r="FD28" s="74"/>
    </row>
    <row r="29" spans="1:160" s="37" customFormat="1" ht="11.4" x14ac:dyDescent="0.2">
      <c r="A29" s="103" t="s">
        <v>13</v>
      </c>
      <c r="B29" s="104" t="s">
        <v>297</v>
      </c>
      <c r="C29" s="208">
        <v>2</v>
      </c>
      <c r="D29" s="19">
        <f t="shared" si="3"/>
        <v>4</v>
      </c>
      <c r="E29" s="138"/>
      <c r="F29" s="138"/>
      <c r="G29" s="138"/>
      <c r="H29" s="139"/>
      <c r="I29" s="138"/>
      <c r="J29" s="139"/>
      <c r="K29" s="56"/>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4"/>
      <c r="DB29" s="74"/>
      <c r="DC29" s="74"/>
      <c r="DD29" s="74"/>
      <c r="DE29" s="74"/>
      <c r="DF29" s="74"/>
      <c r="DG29" s="74"/>
      <c r="DH29" s="74"/>
      <c r="DI29" s="74"/>
      <c r="DJ29" s="74"/>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c r="EZ29" s="74"/>
      <c r="FA29" s="74"/>
      <c r="FB29" s="74"/>
      <c r="FC29" s="74"/>
      <c r="FD29" s="74"/>
    </row>
    <row r="30" spans="1:160" s="37" customFormat="1" ht="11.4" x14ac:dyDescent="0.2">
      <c r="A30" s="103" t="s">
        <v>27</v>
      </c>
      <c r="B30" s="104" t="s">
        <v>46</v>
      </c>
      <c r="C30" s="208">
        <v>2</v>
      </c>
      <c r="D30" s="19">
        <f t="shared" si="3"/>
        <v>4</v>
      </c>
      <c r="E30" s="138"/>
      <c r="F30" s="138"/>
      <c r="G30" s="138"/>
      <c r="H30" s="139"/>
      <c r="I30" s="138"/>
      <c r="J30" s="139"/>
      <c r="K30" s="56"/>
      <c r="L30" s="74"/>
      <c r="M30" s="74"/>
      <c r="N30" s="74"/>
      <c r="O30" s="74"/>
      <c r="P30" s="74"/>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c r="EA30" s="74"/>
      <c r="EB30" s="74"/>
      <c r="EC30" s="74"/>
      <c r="ED30" s="74"/>
      <c r="EE30" s="74"/>
      <c r="EF30" s="74"/>
      <c r="EG30" s="74"/>
      <c r="EH30" s="74"/>
      <c r="EI30" s="74"/>
      <c r="EJ30" s="74"/>
      <c r="EK30" s="74"/>
      <c r="EL30" s="74"/>
      <c r="EM30" s="74"/>
      <c r="EN30" s="74"/>
      <c r="EO30" s="74"/>
      <c r="EP30" s="74"/>
      <c r="EQ30" s="74"/>
      <c r="ER30" s="74"/>
      <c r="ES30" s="74"/>
      <c r="ET30" s="74"/>
      <c r="EU30" s="74"/>
      <c r="EV30" s="74"/>
      <c r="EW30" s="74"/>
      <c r="EX30" s="74"/>
      <c r="EY30" s="74"/>
      <c r="EZ30" s="74"/>
      <c r="FA30" s="74"/>
      <c r="FB30" s="74"/>
      <c r="FC30" s="74"/>
      <c r="FD30" s="74"/>
    </row>
    <row r="31" spans="1:160" s="37" customFormat="1" ht="11.4" x14ac:dyDescent="0.2">
      <c r="A31" s="103" t="s">
        <v>12</v>
      </c>
      <c r="B31" s="104" t="s">
        <v>298</v>
      </c>
      <c r="C31" s="208">
        <v>2</v>
      </c>
      <c r="D31" s="19">
        <f t="shared" si="3"/>
        <v>4</v>
      </c>
      <c r="E31" s="138"/>
      <c r="F31" s="138"/>
      <c r="G31" s="138"/>
      <c r="H31" s="139"/>
      <c r="I31" s="138"/>
      <c r="J31" s="139"/>
      <c r="K31" s="56"/>
      <c r="L31" s="74"/>
      <c r="M31" s="74"/>
      <c r="N31" s="74"/>
      <c r="O31" s="74"/>
      <c r="P31" s="74"/>
      <c r="Q31" s="74"/>
      <c r="R31" s="74"/>
      <c r="S31" s="74"/>
      <c r="T31" s="74"/>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c r="DK31" s="74"/>
      <c r="DL31" s="74"/>
      <c r="DM31" s="74"/>
      <c r="DN31" s="74"/>
      <c r="DO31" s="74"/>
      <c r="DP31" s="74"/>
      <c r="DQ31" s="74"/>
      <c r="DR31" s="74"/>
      <c r="DS31" s="74"/>
      <c r="DT31" s="74"/>
      <c r="DU31" s="74"/>
      <c r="DV31" s="74"/>
      <c r="DW31" s="74"/>
      <c r="DX31" s="74"/>
      <c r="DY31" s="74"/>
      <c r="DZ31" s="74"/>
      <c r="EA31" s="74"/>
      <c r="EB31" s="74"/>
      <c r="EC31" s="74"/>
      <c r="ED31" s="74"/>
      <c r="EE31" s="74"/>
      <c r="EF31" s="74"/>
      <c r="EG31" s="74"/>
      <c r="EH31" s="74"/>
      <c r="EI31" s="74"/>
      <c r="EJ31" s="74"/>
      <c r="EK31" s="74"/>
      <c r="EL31" s="74"/>
      <c r="EM31" s="74"/>
      <c r="EN31" s="74"/>
      <c r="EO31" s="74"/>
      <c r="EP31" s="74"/>
      <c r="EQ31" s="74"/>
      <c r="ER31" s="74"/>
      <c r="ES31" s="74"/>
      <c r="ET31" s="74"/>
      <c r="EU31" s="74"/>
      <c r="EV31" s="74"/>
      <c r="EW31" s="74"/>
      <c r="EX31" s="74"/>
      <c r="EY31" s="74"/>
      <c r="EZ31" s="74"/>
      <c r="FA31" s="74"/>
      <c r="FB31" s="74"/>
      <c r="FC31" s="74"/>
      <c r="FD31" s="74"/>
    </row>
    <row r="32" spans="1:160" s="37" customFormat="1" ht="12.6" thickBot="1" x14ac:dyDescent="0.25">
      <c r="A32" s="215"/>
      <c r="B32" s="210" t="s">
        <v>40</v>
      </c>
      <c r="C32" s="211">
        <f>IF(SUM(C28:C31)=0,"-",SUM(C28:C31))</f>
        <v>8</v>
      </c>
      <c r="D32" s="212">
        <f>IF(SUM(D28:D31)=0,"-",SUM(D28:D31))</f>
        <v>16</v>
      </c>
      <c r="E32" s="138">
        <f>IF(C32="-",0,C32)</f>
        <v>8</v>
      </c>
      <c r="F32" s="138">
        <f>IF(D32="-",0,D32)</f>
        <v>16</v>
      </c>
      <c r="G32" s="138"/>
      <c r="H32" s="139"/>
      <c r="I32" s="138"/>
      <c r="J32" s="139"/>
      <c r="K32" s="56"/>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c r="DK32" s="74"/>
      <c r="DL32" s="74"/>
      <c r="DM32" s="74"/>
      <c r="DN32" s="74"/>
      <c r="DO32" s="74"/>
      <c r="DP32" s="74"/>
      <c r="DQ32" s="74"/>
      <c r="DR32" s="74"/>
      <c r="DS32" s="74"/>
      <c r="DT32" s="74"/>
      <c r="DU32" s="74"/>
      <c r="DV32" s="74"/>
      <c r="DW32" s="74"/>
      <c r="DX32" s="74"/>
      <c r="DY32" s="74"/>
      <c r="DZ32" s="74"/>
      <c r="EA32" s="74"/>
      <c r="EB32" s="74"/>
      <c r="EC32" s="74"/>
      <c r="ED32" s="74"/>
      <c r="EE32" s="74"/>
      <c r="EF32" s="74"/>
      <c r="EG32" s="74"/>
      <c r="EH32" s="74"/>
      <c r="EI32" s="74"/>
      <c r="EJ32" s="74"/>
      <c r="EK32" s="74"/>
      <c r="EL32" s="74"/>
      <c r="EM32" s="74"/>
      <c r="EN32" s="74"/>
      <c r="EO32" s="74"/>
      <c r="EP32" s="74"/>
      <c r="EQ32" s="74"/>
      <c r="ER32" s="74"/>
      <c r="ES32" s="74"/>
      <c r="ET32" s="74"/>
      <c r="EU32" s="74"/>
      <c r="EV32" s="74"/>
      <c r="EW32" s="74"/>
      <c r="EX32" s="74"/>
      <c r="EY32" s="74"/>
      <c r="EZ32" s="74"/>
      <c r="FA32" s="74"/>
      <c r="FB32" s="74"/>
      <c r="FC32" s="74"/>
      <c r="FD32" s="74"/>
    </row>
    <row r="33" spans="1:160" s="37" customFormat="1" ht="16.5" customHeight="1" x14ac:dyDescent="0.2">
      <c r="A33" s="110">
        <v>5</v>
      </c>
      <c r="B33" s="71" t="s">
        <v>299</v>
      </c>
      <c r="C33" s="56"/>
      <c r="D33" s="102"/>
      <c r="E33" s="138"/>
      <c r="F33" s="138"/>
      <c r="G33" s="144"/>
      <c r="H33" s="144"/>
      <c r="I33" s="139"/>
      <c r="J33" s="138"/>
      <c r="K33" s="74"/>
      <c r="L33" s="74"/>
      <c r="M33" s="74"/>
      <c r="N33" s="74"/>
      <c r="O33" s="74"/>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c r="DK33" s="74"/>
      <c r="DL33" s="74"/>
      <c r="DM33" s="74"/>
      <c r="DN33" s="74"/>
      <c r="DO33" s="74"/>
      <c r="DP33" s="74"/>
      <c r="DQ33" s="74"/>
      <c r="DR33" s="74"/>
      <c r="DS33" s="74"/>
      <c r="DT33" s="74"/>
      <c r="DU33" s="74"/>
      <c r="DV33" s="74"/>
      <c r="DW33" s="74"/>
      <c r="DX33" s="74"/>
      <c r="DY33" s="74"/>
      <c r="DZ33" s="74"/>
      <c r="EA33" s="74"/>
      <c r="EB33" s="74"/>
      <c r="EC33" s="74"/>
      <c r="ED33" s="74"/>
      <c r="EE33" s="74"/>
      <c r="EF33" s="74"/>
      <c r="EG33" s="74"/>
      <c r="EH33" s="74"/>
      <c r="EI33" s="74"/>
      <c r="EJ33" s="74"/>
      <c r="EK33" s="74"/>
      <c r="EL33" s="74"/>
      <c r="EM33" s="74"/>
      <c r="EN33" s="74"/>
      <c r="EO33" s="74"/>
      <c r="EP33" s="74"/>
      <c r="EQ33" s="74"/>
      <c r="ER33" s="74"/>
      <c r="ES33" s="74"/>
      <c r="ET33" s="74"/>
      <c r="EU33" s="74"/>
      <c r="EV33" s="74"/>
      <c r="EW33" s="74"/>
      <c r="EX33" s="74"/>
      <c r="EY33" s="74"/>
    </row>
    <row r="34" spans="1:160" s="37" customFormat="1" ht="11.4" x14ac:dyDescent="0.2">
      <c r="A34" s="103" t="s">
        <v>14</v>
      </c>
      <c r="B34" s="104" t="s">
        <v>300</v>
      </c>
      <c r="C34" s="208">
        <v>3</v>
      </c>
      <c r="D34" s="19">
        <f t="shared" ref="D34:D39" si="4">IF(C34="","",IF(C34="Not applicable","-",4))</f>
        <v>4</v>
      </c>
      <c r="E34" s="138"/>
      <c r="F34" s="138"/>
      <c r="G34" s="138"/>
      <c r="H34" s="139"/>
      <c r="I34" s="138"/>
      <c r="J34" s="139"/>
      <c r="K34" s="56"/>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c r="DK34" s="74"/>
      <c r="DL34" s="74"/>
      <c r="DM34" s="74"/>
      <c r="DN34" s="74"/>
      <c r="DO34" s="74"/>
      <c r="DP34" s="74"/>
      <c r="DQ34" s="74"/>
      <c r="DR34" s="74"/>
      <c r="DS34" s="74"/>
      <c r="DT34" s="74"/>
      <c r="DU34" s="74"/>
      <c r="DV34" s="74"/>
      <c r="DW34" s="74"/>
      <c r="DX34" s="74"/>
      <c r="DY34" s="74"/>
      <c r="DZ34" s="74"/>
      <c r="EA34" s="74"/>
      <c r="EB34" s="74"/>
      <c r="EC34" s="74"/>
      <c r="ED34" s="74"/>
      <c r="EE34" s="74"/>
      <c r="EF34" s="74"/>
      <c r="EG34" s="74"/>
      <c r="EH34" s="74"/>
      <c r="EI34" s="74"/>
      <c r="EJ34" s="74"/>
      <c r="EK34" s="74"/>
      <c r="EL34" s="74"/>
      <c r="EM34" s="74"/>
      <c r="EN34" s="74"/>
      <c r="EO34" s="74"/>
      <c r="EP34" s="74"/>
      <c r="EQ34" s="74"/>
      <c r="ER34" s="74"/>
      <c r="ES34" s="74"/>
      <c r="ET34" s="74"/>
      <c r="EU34" s="74"/>
      <c r="EV34" s="74"/>
      <c r="EW34" s="74"/>
      <c r="EX34" s="74"/>
      <c r="EY34" s="74"/>
      <c r="EZ34" s="74"/>
      <c r="FA34" s="74"/>
      <c r="FB34" s="74"/>
      <c r="FC34" s="74"/>
      <c r="FD34" s="74"/>
    </row>
    <row r="35" spans="1:160" s="37" customFormat="1" ht="11.4" x14ac:dyDescent="0.2">
      <c r="A35" s="103" t="s">
        <v>13</v>
      </c>
      <c r="B35" s="104" t="s">
        <v>301</v>
      </c>
      <c r="C35" s="208">
        <v>1</v>
      </c>
      <c r="D35" s="19">
        <f t="shared" si="4"/>
        <v>4</v>
      </c>
      <c r="E35" s="138"/>
      <c r="F35" s="138"/>
      <c r="G35" s="138"/>
      <c r="H35" s="139"/>
      <c r="I35" s="138"/>
      <c r="J35" s="139"/>
      <c r="K35" s="56"/>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c r="DK35" s="74"/>
      <c r="DL35" s="74"/>
      <c r="DM35" s="74"/>
      <c r="DN35" s="74"/>
      <c r="DO35" s="74"/>
      <c r="DP35" s="74"/>
      <c r="DQ35" s="74"/>
      <c r="DR35" s="74"/>
      <c r="DS35" s="74"/>
      <c r="DT35" s="74"/>
      <c r="DU35" s="74"/>
      <c r="DV35" s="74"/>
      <c r="DW35" s="74"/>
      <c r="DX35" s="74"/>
      <c r="DY35" s="74"/>
      <c r="DZ35" s="74"/>
      <c r="EA35" s="74"/>
      <c r="EB35" s="74"/>
      <c r="EC35" s="74"/>
      <c r="ED35" s="74"/>
      <c r="EE35" s="74"/>
      <c r="EF35" s="74"/>
      <c r="EG35" s="74"/>
      <c r="EH35" s="74"/>
      <c r="EI35" s="74"/>
      <c r="EJ35" s="74"/>
      <c r="EK35" s="74"/>
      <c r="EL35" s="74"/>
      <c r="EM35" s="74"/>
      <c r="EN35" s="74"/>
      <c r="EO35" s="74"/>
      <c r="EP35" s="74"/>
      <c r="EQ35" s="74"/>
      <c r="ER35" s="74"/>
      <c r="ES35" s="74"/>
      <c r="ET35" s="74"/>
      <c r="EU35" s="74"/>
      <c r="EV35" s="74"/>
      <c r="EW35" s="74"/>
      <c r="EX35" s="74"/>
      <c r="EY35" s="74"/>
      <c r="EZ35" s="74"/>
      <c r="FA35" s="74"/>
      <c r="FB35" s="74"/>
      <c r="FC35" s="74"/>
      <c r="FD35" s="74"/>
    </row>
    <row r="36" spans="1:160" s="37" customFormat="1" ht="11.4" x14ac:dyDescent="0.2">
      <c r="A36" s="103" t="s">
        <v>27</v>
      </c>
      <c r="B36" s="104" t="s">
        <v>302</v>
      </c>
      <c r="C36" s="208">
        <v>1</v>
      </c>
      <c r="D36" s="19">
        <f t="shared" si="4"/>
        <v>4</v>
      </c>
      <c r="E36" s="138"/>
      <c r="F36" s="138"/>
      <c r="G36" s="138"/>
      <c r="H36" s="139"/>
      <c r="I36" s="138"/>
      <c r="J36" s="139"/>
      <c r="K36" s="56"/>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4"/>
      <c r="CA36" s="74"/>
      <c r="CB36" s="74"/>
      <c r="CC36" s="74"/>
      <c r="CD36" s="74"/>
      <c r="CE36" s="74"/>
      <c r="CF36" s="74"/>
      <c r="CG36" s="74"/>
      <c r="CH36" s="74"/>
      <c r="CI36" s="74"/>
      <c r="CJ36" s="74"/>
      <c r="CK36" s="74"/>
      <c r="CL36" s="74"/>
      <c r="CM36" s="74"/>
      <c r="CN36" s="74"/>
      <c r="CO36" s="74"/>
      <c r="CP36" s="74"/>
      <c r="CQ36" s="74"/>
      <c r="CR36" s="74"/>
      <c r="CS36" s="74"/>
      <c r="CT36" s="74"/>
      <c r="CU36" s="74"/>
      <c r="CV36" s="74"/>
      <c r="CW36" s="74"/>
      <c r="CX36" s="74"/>
      <c r="CY36" s="74"/>
      <c r="CZ36" s="74"/>
      <c r="DA36" s="74"/>
      <c r="DB36" s="74"/>
      <c r="DC36" s="74"/>
      <c r="DD36" s="74"/>
      <c r="DE36" s="74"/>
      <c r="DF36" s="74"/>
      <c r="DG36" s="74"/>
      <c r="DH36" s="74"/>
      <c r="DI36" s="74"/>
      <c r="DJ36" s="74"/>
      <c r="DK36" s="74"/>
      <c r="DL36" s="74"/>
      <c r="DM36" s="74"/>
      <c r="DN36" s="74"/>
      <c r="DO36" s="74"/>
      <c r="DP36" s="74"/>
      <c r="DQ36" s="74"/>
      <c r="DR36" s="74"/>
      <c r="DS36" s="74"/>
      <c r="DT36" s="74"/>
      <c r="DU36" s="74"/>
      <c r="DV36" s="74"/>
      <c r="DW36" s="74"/>
      <c r="DX36" s="74"/>
      <c r="DY36" s="74"/>
      <c r="DZ36" s="74"/>
      <c r="EA36" s="74"/>
      <c r="EB36" s="74"/>
      <c r="EC36" s="74"/>
      <c r="ED36" s="74"/>
      <c r="EE36" s="74"/>
      <c r="EF36" s="74"/>
      <c r="EG36" s="74"/>
      <c r="EH36" s="74"/>
      <c r="EI36" s="74"/>
      <c r="EJ36" s="74"/>
      <c r="EK36" s="74"/>
      <c r="EL36" s="74"/>
      <c r="EM36" s="74"/>
      <c r="EN36" s="74"/>
      <c r="EO36" s="74"/>
      <c r="EP36" s="74"/>
      <c r="EQ36" s="74"/>
      <c r="ER36" s="74"/>
      <c r="ES36" s="74"/>
      <c r="ET36" s="74"/>
      <c r="EU36" s="74"/>
      <c r="EV36" s="74"/>
      <c r="EW36" s="74"/>
      <c r="EX36" s="74"/>
      <c r="EY36" s="74"/>
      <c r="EZ36" s="74"/>
      <c r="FA36" s="74"/>
      <c r="FB36" s="74"/>
      <c r="FC36" s="74"/>
      <c r="FD36" s="74"/>
    </row>
    <row r="37" spans="1:160" s="37" customFormat="1" ht="11.4" x14ac:dyDescent="0.2">
      <c r="A37" s="103" t="s">
        <v>12</v>
      </c>
      <c r="B37" s="104" t="s">
        <v>303</v>
      </c>
      <c r="C37" s="217">
        <v>2</v>
      </c>
      <c r="D37" s="19">
        <f t="shared" si="4"/>
        <v>4</v>
      </c>
      <c r="E37" s="138"/>
      <c r="F37" s="138"/>
      <c r="G37" s="138"/>
      <c r="H37" s="139"/>
      <c r="I37" s="138"/>
      <c r="J37" s="139"/>
      <c r="K37" s="56"/>
      <c r="L37" s="74"/>
      <c r="M37" s="74"/>
      <c r="N37" s="74"/>
      <c r="O37" s="74"/>
      <c r="P37" s="74"/>
      <c r="Q37" s="74"/>
      <c r="R37" s="74"/>
      <c r="S37" s="74"/>
      <c r="T37" s="74"/>
      <c r="U37" s="74"/>
      <c r="V37" s="74"/>
      <c r="W37" s="74"/>
      <c r="X37" s="74"/>
      <c r="Y37" s="74"/>
      <c r="Z37" s="74"/>
      <c r="AA37" s="74"/>
      <c r="AB37" s="74"/>
      <c r="AC37" s="74"/>
      <c r="AD37" s="74"/>
      <c r="AE37" s="74"/>
      <c r="AF37" s="74"/>
      <c r="AG37" s="74"/>
      <c r="AH37" s="74"/>
      <c r="AI37" s="74"/>
      <c r="AJ37" s="74"/>
      <c r="AK37" s="74"/>
      <c r="AL37" s="74"/>
      <c r="AM37" s="74"/>
      <c r="AN37" s="74"/>
      <c r="AO37" s="74"/>
      <c r="AP37" s="74"/>
      <c r="AQ37" s="74"/>
      <c r="AR37" s="74"/>
      <c r="AS37" s="74"/>
      <c r="AT37" s="74"/>
      <c r="AU37" s="74"/>
      <c r="AV37" s="74"/>
      <c r="AW37" s="74"/>
      <c r="AX37" s="74"/>
      <c r="AY37" s="74"/>
      <c r="AZ37" s="74"/>
      <c r="BA37" s="74"/>
      <c r="BB37" s="74"/>
      <c r="BC37" s="74"/>
      <c r="BD37" s="74"/>
      <c r="BE37" s="74"/>
      <c r="BF37" s="74"/>
      <c r="BG37" s="74"/>
      <c r="BH37" s="74"/>
      <c r="BI37" s="74"/>
      <c r="BJ37" s="74"/>
      <c r="BK37" s="74"/>
      <c r="BL37" s="74"/>
      <c r="BM37" s="74"/>
      <c r="BN37" s="74"/>
      <c r="BO37" s="74"/>
      <c r="BP37" s="74"/>
      <c r="BQ37" s="74"/>
      <c r="BR37" s="74"/>
      <c r="BS37" s="74"/>
      <c r="BT37" s="74"/>
      <c r="BU37" s="74"/>
      <c r="BV37" s="74"/>
      <c r="BW37" s="74"/>
      <c r="BX37" s="74"/>
      <c r="BY37" s="74"/>
      <c r="BZ37" s="74"/>
      <c r="CA37" s="74"/>
      <c r="CB37" s="74"/>
      <c r="CC37" s="74"/>
      <c r="CD37" s="74"/>
      <c r="CE37" s="74"/>
      <c r="CF37" s="74"/>
      <c r="CG37" s="74"/>
      <c r="CH37" s="74"/>
      <c r="CI37" s="74"/>
      <c r="CJ37" s="74"/>
      <c r="CK37" s="74"/>
      <c r="CL37" s="74"/>
      <c r="CM37" s="74"/>
      <c r="CN37" s="74"/>
      <c r="CO37" s="74"/>
      <c r="CP37" s="74"/>
      <c r="CQ37" s="74"/>
      <c r="CR37" s="74"/>
      <c r="CS37" s="74"/>
      <c r="CT37" s="74"/>
      <c r="CU37" s="74"/>
      <c r="CV37" s="74"/>
      <c r="CW37" s="74"/>
      <c r="CX37" s="74"/>
      <c r="CY37" s="74"/>
      <c r="CZ37" s="74"/>
      <c r="DA37" s="74"/>
      <c r="DB37" s="74"/>
      <c r="DC37" s="74"/>
      <c r="DD37" s="74"/>
      <c r="DE37" s="74"/>
      <c r="DF37" s="74"/>
      <c r="DG37" s="74"/>
      <c r="DH37" s="74"/>
      <c r="DI37" s="74"/>
      <c r="DJ37" s="74"/>
      <c r="DK37" s="74"/>
      <c r="DL37" s="74"/>
      <c r="DM37" s="74"/>
      <c r="DN37" s="74"/>
      <c r="DO37" s="74"/>
      <c r="DP37" s="74"/>
      <c r="DQ37" s="74"/>
      <c r="DR37" s="74"/>
      <c r="DS37" s="74"/>
      <c r="DT37" s="74"/>
      <c r="DU37" s="74"/>
      <c r="DV37" s="74"/>
      <c r="DW37" s="74"/>
      <c r="DX37" s="74"/>
      <c r="DY37" s="74"/>
      <c r="DZ37" s="74"/>
      <c r="EA37" s="74"/>
      <c r="EB37" s="74"/>
      <c r="EC37" s="74"/>
      <c r="ED37" s="74"/>
      <c r="EE37" s="74"/>
      <c r="EF37" s="74"/>
      <c r="EG37" s="74"/>
      <c r="EH37" s="74"/>
      <c r="EI37" s="74"/>
      <c r="EJ37" s="74"/>
      <c r="EK37" s="74"/>
      <c r="EL37" s="74"/>
      <c r="EM37" s="74"/>
      <c r="EN37" s="74"/>
      <c r="EO37" s="74"/>
      <c r="EP37" s="74"/>
      <c r="EQ37" s="74"/>
      <c r="ER37" s="74"/>
      <c r="ES37" s="74"/>
      <c r="ET37" s="74"/>
      <c r="EU37" s="74"/>
      <c r="EV37" s="74"/>
      <c r="EW37" s="74"/>
      <c r="EX37" s="74"/>
      <c r="EY37" s="74"/>
      <c r="EZ37" s="74"/>
      <c r="FA37" s="74"/>
      <c r="FB37" s="74"/>
      <c r="FC37" s="74"/>
      <c r="FD37" s="74"/>
    </row>
    <row r="38" spans="1:160" s="37" customFormat="1" ht="11.4" x14ac:dyDescent="0.2">
      <c r="A38" s="103" t="s">
        <v>37</v>
      </c>
      <c r="B38" s="104" t="s">
        <v>304</v>
      </c>
      <c r="C38" s="217" t="s">
        <v>128</v>
      </c>
      <c r="D38" s="19" t="str">
        <f t="shared" si="4"/>
        <v>-</v>
      </c>
      <c r="E38" s="138"/>
      <c r="F38" s="138"/>
      <c r="G38" s="138"/>
      <c r="H38" s="139"/>
      <c r="I38" s="138"/>
      <c r="J38" s="139"/>
      <c r="K38" s="56"/>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c r="DK38" s="74"/>
      <c r="DL38" s="74"/>
      <c r="DM38" s="74"/>
      <c r="DN38" s="74"/>
      <c r="DO38" s="74"/>
      <c r="DP38" s="74"/>
      <c r="DQ38" s="74"/>
      <c r="DR38" s="74"/>
      <c r="DS38" s="74"/>
      <c r="DT38" s="74"/>
      <c r="DU38" s="74"/>
      <c r="DV38" s="74"/>
      <c r="DW38" s="74"/>
      <c r="DX38" s="74"/>
      <c r="DY38" s="74"/>
      <c r="DZ38" s="74"/>
      <c r="EA38" s="74"/>
      <c r="EB38" s="74"/>
      <c r="EC38" s="74"/>
      <c r="ED38" s="74"/>
      <c r="EE38" s="74"/>
      <c r="EF38" s="74"/>
      <c r="EG38" s="74"/>
      <c r="EH38" s="74"/>
      <c r="EI38" s="74"/>
      <c r="EJ38" s="74"/>
      <c r="EK38" s="74"/>
      <c r="EL38" s="74"/>
      <c r="EM38" s="74"/>
      <c r="EN38" s="74"/>
      <c r="EO38" s="74"/>
      <c r="EP38" s="74"/>
      <c r="EQ38" s="74"/>
      <c r="ER38" s="74"/>
      <c r="ES38" s="74"/>
      <c r="ET38" s="74"/>
      <c r="EU38" s="74"/>
      <c r="EV38" s="74"/>
      <c r="EW38" s="74"/>
      <c r="EX38" s="74"/>
      <c r="EY38" s="74"/>
      <c r="EZ38" s="74"/>
      <c r="FA38" s="74"/>
      <c r="FB38" s="74"/>
      <c r="FC38" s="74"/>
      <c r="FD38" s="74"/>
    </row>
    <row r="39" spans="1:160" s="37" customFormat="1" ht="11.4" x14ac:dyDescent="0.2">
      <c r="A39" s="103" t="s">
        <v>44</v>
      </c>
      <c r="B39" s="104" t="s">
        <v>305</v>
      </c>
      <c r="C39" s="217" t="s">
        <v>128</v>
      </c>
      <c r="D39" s="19" t="str">
        <f t="shared" si="4"/>
        <v>-</v>
      </c>
      <c r="E39" s="138"/>
      <c r="F39" s="138"/>
      <c r="G39" s="138"/>
      <c r="H39" s="139"/>
      <c r="I39" s="138"/>
      <c r="J39" s="139"/>
      <c r="K39" s="56"/>
      <c r="L39" s="74"/>
      <c r="M39" s="74"/>
      <c r="N39" s="74"/>
      <c r="O39" s="74"/>
      <c r="P39" s="74"/>
      <c r="Q39" s="74"/>
      <c r="R39" s="74"/>
      <c r="S39" s="74"/>
      <c r="T39" s="74"/>
      <c r="U39" s="74"/>
      <c r="V39" s="74"/>
      <c r="W39" s="74"/>
      <c r="X39" s="74"/>
      <c r="Y39" s="74"/>
      <c r="Z39" s="74"/>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4"/>
      <c r="BO39" s="74"/>
      <c r="BP39" s="74"/>
      <c r="BQ39" s="74"/>
      <c r="BR39" s="74"/>
      <c r="BS39" s="74"/>
      <c r="BT39" s="74"/>
      <c r="BU39" s="74"/>
      <c r="BV39" s="74"/>
      <c r="BW39" s="74"/>
      <c r="BX39" s="74"/>
      <c r="BY39" s="74"/>
      <c r="BZ39" s="74"/>
      <c r="CA39" s="74"/>
      <c r="CB39" s="74"/>
      <c r="CC39" s="74"/>
      <c r="CD39" s="74"/>
      <c r="CE39" s="74"/>
      <c r="CF39" s="74"/>
      <c r="CG39" s="74"/>
      <c r="CH39" s="74"/>
      <c r="CI39" s="74"/>
      <c r="CJ39" s="74"/>
      <c r="CK39" s="74"/>
      <c r="CL39" s="74"/>
      <c r="CM39" s="74"/>
      <c r="CN39" s="74"/>
      <c r="CO39" s="74"/>
      <c r="CP39" s="74"/>
      <c r="CQ39" s="74"/>
      <c r="CR39" s="74"/>
      <c r="CS39" s="74"/>
      <c r="CT39" s="74"/>
      <c r="CU39" s="74"/>
      <c r="CV39" s="74"/>
      <c r="CW39" s="74"/>
      <c r="CX39" s="74"/>
      <c r="CY39" s="74"/>
      <c r="CZ39" s="74"/>
      <c r="DA39" s="74"/>
      <c r="DB39" s="74"/>
      <c r="DC39" s="74"/>
      <c r="DD39" s="74"/>
      <c r="DE39" s="74"/>
      <c r="DF39" s="74"/>
      <c r="DG39" s="74"/>
      <c r="DH39" s="74"/>
      <c r="DI39" s="74"/>
      <c r="DJ39" s="74"/>
      <c r="DK39" s="74"/>
      <c r="DL39" s="74"/>
      <c r="DM39" s="74"/>
      <c r="DN39" s="74"/>
      <c r="DO39" s="74"/>
      <c r="DP39" s="74"/>
      <c r="DQ39" s="74"/>
      <c r="DR39" s="74"/>
      <c r="DS39" s="74"/>
      <c r="DT39" s="74"/>
      <c r="DU39" s="74"/>
      <c r="DV39" s="74"/>
      <c r="DW39" s="74"/>
      <c r="DX39" s="74"/>
      <c r="DY39" s="74"/>
      <c r="DZ39" s="74"/>
      <c r="EA39" s="74"/>
      <c r="EB39" s="74"/>
      <c r="EC39" s="74"/>
      <c r="ED39" s="74"/>
      <c r="EE39" s="74"/>
      <c r="EF39" s="74"/>
      <c r="EG39" s="74"/>
      <c r="EH39" s="74"/>
      <c r="EI39" s="74"/>
      <c r="EJ39" s="74"/>
      <c r="EK39" s="74"/>
      <c r="EL39" s="74"/>
      <c r="EM39" s="74"/>
      <c r="EN39" s="74"/>
      <c r="EO39" s="74"/>
      <c r="EP39" s="74"/>
      <c r="EQ39" s="74"/>
      <c r="ER39" s="74"/>
      <c r="ES39" s="74"/>
      <c r="ET39" s="74"/>
      <c r="EU39" s="74"/>
      <c r="EV39" s="74"/>
      <c r="EW39" s="74"/>
      <c r="EX39" s="74"/>
      <c r="EY39" s="74"/>
      <c r="EZ39" s="74"/>
      <c r="FA39" s="74"/>
      <c r="FB39" s="74"/>
      <c r="FC39" s="74"/>
      <c r="FD39" s="74"/>
    </row>
    <row r="40" spans="1:160" s="37" customFormat="1" ht="12.6" thickBot="1" x14ac:dyDescent="0.25">
      <c r="A40" s="218"/>
      <c r="B40" s="219" t="s">
        <v>47</v>
      </c>
      <c r="C40" s="211">
        <f>IF(SUM(C34:C39)=0,"-",SUM(C34:C39))</f>
        <v>7</v>
      </c>
      <c r="D40" s="212">
        <f>IF(SUM(D34:D39)=0,"-",SUM(D34:D39))</f>
        <v>16</v>
      </c>
      <c r="E40" s="138">
        <f>IF(C40="-",0,C40)</f>
        <v>7</v>
      </c>
      <c r="F40" s="138">
        <f>IF(D40="-",0,D40)</f>
        <v>16</v>
      </c>
      <c r="G40" s="138"/>
      <c r="H40" s="139"/>
      <c r="I40" s="138"/>
      <c r="J40" s="139"/>
      <c r="K40" s="56"/>
      <c r="L40" s="74"/>
      <c r="M40" s="74"/>
      <c r="N40" s="74"/>
      <c r="O40" s="74"/>
      <c r="P40" s="74"/>
      <c r="Q40" s="74"/>
      <c r="R40" s="74"/>
      <c r="S40" s="74"/>
      <c r="T40" s="74"/>
      <c r="U40" s="74"/>
      <c r="V40" s="74"/>
      <c r="W40" s="74"/>
      <c r="X40" s="74"/>
      <c r="Y40" s="74"/>
      <c r="Z40" s="74"/>
      <c r="AA40" s="74"/>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4"/>
      <c r="AZ40" s="74"/>
      <c r="BA40" s="74"/>
      <c r="BB40" s="74"/>
      <c r="BC40" s="74"/>
      <c r="BD40" s="74"/>
      <c r="BE40" s="74"/>
      <c r="BF40" s="74"/>
      <c r="BG40" s="74"/>
      <c r="BH40" s="74"/>
      <c r="BI40" s="74"/>
      <c r="BJ40" s="74"/>
      <c r="BK40" s="74"/>
      <c r="BL40" s="74"/>
      <c r="BM40" s="74"/>
      <c r="BN40" s="74"/>
      <c r="BO40" s="74"/>
      <c r="BP40" s="74"/>
      <c r="BQ40" s="74"/>
      <c r="BR40" s="74"/>
      <c r="BS40" s="74"/>
      <c r="BT40" s="74"/>
      <c r="BU40" s="74"/>
      <c r="BV40" s="74"/>
      <c r="BW40" s="74"/>
      <c r="BX40" s="74"/>
      <c r="BY40" s="74"/>
      <c r="BZ40" s="74"/>
      <c r="CA40" s="74"/>
      <c r="CB40" s="74"/>
      <c r="CC40" s="74"/>
      <c r="CD40" s="74"/>
      <c r="CE40" s="74"/>
      <c r="CF40" s="74"/>
      <c r="CG40" s="74"/>
      <c r="CH40" s="74"/>
      <c r="CI40" s="74"/>
      <c r="CJ40" s="74"/>
      <c r="CK40" s="74"/>
      <c r="CL40" s="74"/>
      <c r="CM40" s="74"/>
      <c r="CN40" s="74"/>
      <c r="CO40" s="74"/>
      <c r="CP40" s="74"/>
      <c r="CQ40" s="74"/>
      <c r="CR40" s="74"/>
      <c r="CS40" s="74"/>
      <c r="CT40" s="74"/>
      <c r="CU40" s="74"/>
      <c r="CV40" s="74"/>
      <c r="CW40" s="74"/>
      <c r="CX40" s="74"/>
      <c r="CY40" s="74"/>
      <c r="CZ40" s="74"/>
      <c r="DA40" s="74"/>
      <c r="DB40" s="74"/>
      <c r="DC40" s="74"/>
      <c r="DD40" s="74"/>
      <c r="DE40" s="74"/>
      <c r="DF40" s="74"/>
      <c r="DG40" s="74"/>
      <c r="DH40" s="74"/>
      <c r="DI40" s="74"/>
      <c r="DJ40" s="74"/>
      <c r="DK40" s="74"/>
      <c r="DL40" s="74"/>
      <c r="DM40" s="74"/>
      <c r="DN40" s="74"/>
      <c r="DO40" s="74"/>
      <c r="DP40" s="74"/>
      <c r="DQ40" s="74"/>
      <c r="DR40" s="74"/>
      <c r="DS40" s="74"/>
      <c r="DT40" s="74"/>
      <c r="DU40" s="74"/>
      <c r="DV40" s="74"/>
      <c r="DW40" s="74"/>
      <c r="DX40" s="74"/>
      <c r="DY40" s="74"/>
      <c r="DZ40" s="74"/>
      <c r="EA40" s="74"/>
      <c r="EB40" s="74"/>
      <c r="EC40" s="74"/>
      <c r="ED40" s="74"/>
      <c r="EE40" s="74"/>
      <c r="EF40" s="74"/>
      <c r="EG40" s="74"/>
      <c r="EH40" s="74"/>
      <c r="EI40" s="74"/>
      <c r="EJ40" s="74"/>
      <c r="EK40" s="74"/>
      <c r="EL40" s="74"/>
      <c r="EM40" s="74"/>
      <c r="EN40" s="74"/>
      <c r="EO40" s="74"/>
      <c r="EP40" s="74"/>
      <c r="EQ40" s="74"/>
      <c r="ER40" s="74"/>
      <c r="ES40" s="74"/>
      <c r="ET40" s="74"/>
      <c r="EU40" s="74"/>
      <c r="EV40" s="74"/>
      <c r="EW40" s="74"/>
      <c r="EX40" s="74"/>
      <c r="EY40" s="74"/>
      <c r="EZ40" s="74"/>
      <c r="FA40" s="74"/>
      <c r="FB40" s="74"/>
      <c r="FC40" s="74"/>
      <c r="FD40" s="74"/>
    </row>
    <row r="41" spans="1:160" s="37" customFormat="1" ht="12.6" thickBot="1" x14ac:dyDescent="0.25">
      <c r="A41" s="209"/>
      <c r="B41" s="210" t="s">
        <v>121</v>
      </c>
      <c r="C41" s="220">
        <f>IF(E41=0,"-",E41)</f>
        <v>47</v>
      </c>
      <c r="D41" s="221">
        <f>IF(F41=0,"-",F41)</f>
        <v>100</v>
      </c>
      <c r="E41" s="138">
        <f>SUM(E10:E40)</f>
        <v>47</v>
      </c>
      <c r="F41" s="138">
        <f>SUM(F10:F40)</f>
        <v>100</v>
      </c>
      <c r="G41" s="138"/>
      <c r="H41" s="139"/>
      <c r="I41" s="138"/>
      <c r="J41" s="139"/>
      <c r="K41" s="56"/>
      <c r="L41" s="74"/>
      <c r="M41" s="74"/>
      <c r="N41" s="74"/>
      <c r="O41" s="74"/>
      <c r="P41" s="74"/>
      <c r="Q41" s="74"/>
      <c r="R41" s="74"/>
      <c r="S41" s="74"/>
      <c r="T41" s="74"/>
      <c r="U41" s="74"/>
      <c r="V41" s="74"/>
      <c r="W41" s="74"/>
      <c r="X41" s="74"/>
      <c r="Y41" s="74"/>
      <c r="Z41" s="7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X41" s="74"/>
      <c r="AY41" s="74"/>
      <c r="AZ41" s="74"/>
      <c r="BA41" s="74"/>
      <c r="BB41" s="74"/>
      <c r="BC41" s="74"/>
      <c r="BD41" s="74"/>
      <c r="BE41" s="74"/>
      <c r="BF41" s="74"/>
      <c r="BG41" s="74"/>
      <c r="BH41" s="74"/>
      <c r="BI41" s="74"/>
      <c r="BJ41" s="74"/>
      <c r="BK41" s="74"/>
      <c r="BL41" s="74"/>
      <c r="BM41" s="74"/>
      <c r="BN41" s="74"/>
      <c r="BO41" s="74"/>
      <c r="BP41" s="74"/>
      <c r="BQ41" s="74"/>
      <c r="BR41" s="74"/>
      <c r="BS41" s="74"/>
      <c r="BT41" s="74"/>
      <c r="BU41" s="74"/>
      <c r="BV41" s="74"/>
      <c r="BW41" s="74"/>
      <c r="BX41" s="74"/>
      <c r="BY41" s="74"/>
      <c r="BZ41" s="74"/>
      <c r="CA41" s="74"/>
      <c r="CB41" s="74"/>
      <c r="CC41" s="74"/>
      <c r="CD41" s="74"/>
      <c r="CE41" s="74"/>
      <c r="CF41" s="74"/>
      <c r="CG41" s="74"/>
      <c r="CH41" s="74"/>
      <c r="CI41" s="74"/>
      <c r="CJ41" s="74"/>
      <c r="CK41" s="74"/>
      <c r="CL41" s="74"/>
      <c r="CM41" s="74"/>
      <c r="CN41" s="74"/>
      <c r="CO41" s="74"/>
      <c r="CP41" s="74"/>
      <c r="CQ41" s="74"/>
      <c r="CR41" s="74"/>
      <c r="CS41" s="74"/>
      <c r="CT41" s="74"/>
      <c r="CU41" s="74"/>
      <c r="CV41" s="74"/>
      <c r="CW41" s="74"/>
      <c r="CX41" s="74"/>
      <c r="CY41" s="74"/>
      <c r="CZ41" s="74"/>
      <c r="DA41" s="74"/>
      <c r="DB41" s="74"/>
      <c r="DC41" s="74"/>
      <c r="DD41" s="74"/>
      <c r="DE41" s="74"/>
      <c r="DF41" s="74"/>
      <c r="DG41" s="74"/>
      <c r="DH41" s="74"/>
      <c r="DI41" s="74"/>
      <c r="DJ41" s="74"/>
      <c r="DK41" s="74"/>
      <c r="DL41" s="74"/>
      <c r="DM41" s="74"/>
      <c r="DN41" s="74"/>
      <c r="DO41" s="74"/>
      <c r="DP41" s="74"/>
      <c r="DQ41" s="74"/>
      <c r="DR41" s="74"/>
      <c r="DS41" s="74"/>
      <c r="DT41" s="74"/>
      <c r="DU41" s="74"/>
      <c r="DV41" s="74"/>
      <c r="DW41" s="74"/>
      <c r="DX41" s="74"/>
      <c r="DY41" s="74"/>
      <c r="DZ41" s="74"/>
      <c r="EA41" s="74"/>
      <c r="EB41" s="74"/>
      <c r="EC41" s="74"/>
      <c r="ED41" s="74"/>
      <c r="EE41" s="74"/>
      <c r="EF41" s="74"/>
      <c r="EG41" s="74"/>
      <c r="EH41" s="74"/>
      <c r="EI41" s="74"/>
      <c r="EJ41" s="74"/>
      <c r="EK41" s="74"/>
      <c r="EL41" s="74"/>
      <c r="EM41" s="74"/>
      <c r="EN41" s="74"/>
      <c r="EO41" s="74"/>
      <c r="EP41" s="74"/>
      <c r="EQ41" s="74"/>
      <c r="ER41" s="74"/>
      <c r="ES41" s="74"/>
      <c r="ET41" s="74"/>
      <c r="EU41" s="74"/>
      <c r="EV41" s="74"/>
      <c r="EW41" s="74"/>
      <c r="EX41" s="74"/>
      <c r="EY41" s="74"/>
      <c r="EZ41" s="74"/>
      <c r="FA41" s="74"/>
      <c r="FB41" s="74"/>
      <c r="FC41" s="74"/>
      <c r="FD41" s="74"/>
    </row>
    <row r="42" spans="1:160" ht="24" x14ac:dyDescent="0.3">
      <c r="A42" s="165">
        <v>5</v>
      </c>
      <c r="B42" s="161" t="s">
        <v>122</v>
      </c>
      <c r="C42" s="162"/>
      <c r="D42" s="163"/>
    </row>
    <row r="43" spans="1:160" ht="15" thickBot="1" x14ac:dyDescent="0.35">
      <c r="A43" s="164" t="s">
        <v>14</v>
      </c>
      <c r="B43" s="222" t="s">
        <v>125</v>
      </c>
      <c r="C43" s="542">
        <f>VLOOKUP(B43,$I$18:$J$22,2,0)</f>
        <v>56.4</v>
      </c>
      <c r="D43" s="543"/>
    </row>
    <row r="44" spans="1:160" ht="15" thickBot="1" x14ac:dyDescent="0.35">
      <c r="A44" s="209"/>
      <c r="B44" s="210" t="s">
        <v>123</v>
      </c>
      <c r="C44" s="220">
        <f>IF(OR(B43="Not applicable",B43="",B43="Data not available"),C41,C43)</f>
        <v>56.4</v>
      </c>
      <c r="D44" s="221">
        <f>D41</f>
        <v>100</v>
      </c>
    </row>
  </sheetData>
  <sheetProtection password="C445" sheet="1" objects="1" scenarios="1" selectLockedCells="1"/>
  <mergeCells count="1">
    <mergeCell ref="C43:D43"/>
  </mergeCells>
  <dataValidations count="3">
    <dataValidation type="list" errorStyle="information" allowBlank="1" showInputMessage="1" showErrorMessage="1" error="Please select valid option if information is available from Head Office, else select Not applicable." promptTitle="Important" prompt="Please select valid option if information is available from Head Office, else select Not applicable." sqref="B43" xr:uid="{00000000-0002-0000-0D00-000000000000}">
      <formula1>$I$18:$I$22</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C5:C9 C34:C39 C28:C31 C19:C25 C12:C16" xr:uid="{00000000-0002-0000-0D00-000001000000}">
      <formula1>$G$5:$G$11</formula1>
    </dataValidation>
    <dataValidation type="custom" allowBlank="1" showInputMessage="1" showErrorMessage="1" error="No data required in this cell" sqref="D33 D27 D11 D18" xr:uid="{00000000-0002-0000-0D00-000002000000}">
      <formula1>ISBLANK(D11)=TRUE</formula1>
    </dataValidation>
  </dataValidations>
  <pageMargins left="0.7" right="0.7" top="0.75" bottom="0.75" header="0.3" footer="0.3"/>
  <pageSetup paperSize="9"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pageSetUpPr fitToPage="1"/>
  </sheetPr>
  <dimension ref="A1:FE24"/>
  <sheetViews>
    <sheetView showGridLines="0" workbookViewId="0">
      <selection activeCell="D11" sqref="D11"/>
    </sheetView>
  </sheetViews>
  <sheetFormatPr defaultColWidth="9.109375" defaultRowHeight="14.4" x14ac:dyDescent="0.3"/>
  <cols>
    <col min="1" max="1" width="9.109375" style="99"/>
    <col min="2" max="2" width="45.6640625" style="98" customWidth="1"/>
    <col min="3" max="3" width="19.5546875" style="98" customWidth="1"/>
    <col min="4" max="4" width="19.44140625" style="98" customWidth="1"/>
    <col min="5" max="5" width="20.33203125" style="98" bestFit="1" customWidth="1"/>
    <col min="6" max="10" width="9.109375" style="182"/>
    <col min="11" max="16384" width="9.109375" style="98"/>
  </cols>
  <sheetData>
    <row r="1" spans="1:161" x14ac:dyDescent="0.3">
      <c r="A1" s="563" t="s">
        <v>306</v>
      </c>
      <c r="B1" s="563"/>
      <c r="C1" s="223"/>
      <c r="D1" s="564" t="s">
        <v>111</v>
      </c>
      <c r="E1" s="565" t="str">
        <f>IF('Financial strength'!C6="","",'Financial strength'!C6)</f>
        <v/>
      </c>
    </row>
    <row r="2" spans="1:161" x14ac:dyDescent="0.3">
      <c r="A2" s="563"/>
      <c r="B2" s="563"/>
      <c r="C2" s="223"/>
      <c r="D2" s="564"/>
      <c r="E2" s="565"/>
    </row>
    <row r="3" spans="1:161" ht="15" thickBot="1" x14ac:dyDescent="0.35">
      <c r="K3" s="148"/>
    </row>
    <row r="4" spans="1:161" s="37" customFormat="1" ht="24.6" thickBot="1" x14ac:dyDescent="0.25">
      <c r="A4" s="204" t="s">
        <v>107</v>
      </c>
      <c r="B4" s="224" t="s">
        <v>8</v>
      </c>
      <c r="C4" s="224" t="s">
        <v>117</v>
      </c>
      <c r="D4" s="206" t="s">
        <v>9</v>
      </c>
      <c r="E4" s="207" t="s">
        <v>109</v>
      </c>
      <c r="F4" s="138"/>
      <c r="G4" s="138"/>
      <c r="H4" s="138"/>
      <c r="I4" s="139"/>
      <c r="J4" s="138"/>
      <c r="K4" s="63"/>
      <c r="L4" s="56"/>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row>
    <row r="5" spans="1:161" s="37" customFormat="1" ht="19.5" customHeight="1" x14ac:dyDescent="0.2">
      <c r="A5" s="110" t="s">
        <v>49</v>
      </c>
      <c r="B5" s="114" t="s">
        <v>50</v>
      </c>
      <c r="C5" s="114"/>
      <c r="D5" s="62"/>
      <c r="E5" s="115"/>
      <c r="F5" s="138"/>
      <c r="G5" s="138"/>
      <c r="H5" s="144"/>
      <c r="I5" s="144"/>
      <c r="J5" s="139"/>
      <c r="K5" s="56"/>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row>
    <row r="6" spans="1:161" s="37" customFormat="1" ht="17.25" customHeight="1" x14ac:dyDescent="0.2">
      <c r="A6" s="116">
        <v>1</v>
      </c>
      <c r="B6" s="114" t="s">
        <v>51</v>
      </c>
      <c r="C6" s="114"/>
      <c r="D6" s="62"/>
      <c r="E6" s="115"/>
      <c r="F6" s="138"/>
      <c r="G6" s="138"/>
      <c r="H6" s="144"/>
      <c r="I6" s="144"/>
      <c r="J6" s="139"/>
      <c r="K6" s="56"/>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row>
    <row r="7" spans="1:161" s="37" customFormat="1" ht="11.4" x14ac:dyDescent="0.2">
      <c r="A7" s="103" t="s">
        <v>14</v>
      </c>
      <c r="B7" s="104" t="s">
        <v>52</v>
      </c>
      <c r="C7" s="468" t="str">
        <f>IF('Cover page'!N9="Not available","Data not available",IF('Income Statement'!N8="","Data not available",'Income Statement'!O8))</f>
        <v/>
      </c>
      <c r="D7" s="24" t="str">
        <f>IF(C7="","",IF(C7="Not applicable","-",IF(C7="Data not available",0,IF(C7&lt;75%,0,IF(C7&lt;80%,1,IF(C7&lt;90%,2,IF(C7&lt;=95%,3,IF(C7&gt;95%,4,0))))))))</f>
        <v/>
      </c>
      <c r="E7" s="19" t="str">
        <f>IF(C7="","",IF(C7="Not applicable","-",4))</f>
        <v/>
      </c>
      <c r="F7" s="138" t="str">
        <f>IF(D7="-",0,D7)</f>
        <v/>
      </c>
      <c r="G7" s="138" t="str">
        <f>IF(E7="-",0,E7)</f>
        <v/>
      </c>
      <c r="H7" s="138"/>
      <c r="I7" s="139"/>
      <c r="J7" s="138"/>
      <c r="K7" s="63"/>
      <c r="L7" s="56"/>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c r="EJ7" s="74"/>
      <c r="EK7" s="74"/>
      <c r="EL7" s="74"/>
      <c r="EM7" s="74"/>
      <c r="EN7" s="74"/>
      <c r="EO7" s="74"/>
      <c r="EP7" s="74"/>
      <c r="EQ7" s="74"/>
      <c r="ER7" s="74"/>
      <c r="ES7" s="74"/>
      <c r="ET7" s="74"/>
      <c r="EU7" s="74"/>
      <c r="EV7" s="74"/>
      <c r="EW7" s="74"/>
      <c r="EX7" s="74"/>
      <c r="EY7" s="74"/>
      <c r="EZ7" s="74"/>
      <c r="FA7" s="74"/>
      <c r="FB7" s="74"/>
      <c r="FC7" s="74"/>
      <c r="FD7" s="74"/>
      <c r="FE7" s="74"/>
    </row>
    <row r="8" spans="1:161" s="37" customFormat="1" ht="11.4" x14ac:dyDescent="0.2">
      <c r="A8" s="103" t="s">
        <v>13</v>
      </c>
      <c r="B8" s="117" t="s">
        <v>53</v>
      </c>
      <c r="C8" s="468" t="str">
        <f>IF('Cover page'!N9="Not available","Data not available",IF('Income Statement'!N8="","Data not available",'Income Statement'!O25))</f>
        <v/>
      </c>
      <c r="D8" s="24" t="str">
        <f>IF(C8="","",IF(C8="Not applicable","-",IF(C8="Data not available",0,IF(C8&lt;75%,0,IF(C8&lt;80%,1,IF(C8&lt;90%,2,IF(C8&lt;=95%,3,IF(C8&gt;95%,4,0))))))))</f>
        <v/>
      </c>
      <c r="E8" s="19" t="str">
        <f>IF(C8="","",IF(C8="Not applicable","-",4))</f>
        <v/>
      </c>
      <c r="F8" s="138" t="str">
        <f>IF(D8="-",0,D8)</f>
        <v/>
      </c>
      <c r="G8" s="138" t="str">
        <f>IF(E8="-",0,E8)</f>
        <v/>
      </c>
      <c r="H8" s="138"/>
      <c r="I8" s="139"/>
      <c r="J8" s="138"/>
      <c r="K8" s="63"/>
      <c r="L8" s="56"/>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c r="FE8" s="74"/>
    </row>
    <row r="9" spans="1:161" s="37" customFormat="1" ht="12" x14ac:dyDescent="0.2">
      <c r="A9" s="218"/>
      <c r="B9" s="225" t="s">
        <v>45</v>
      </c>
      <c r="C9" s="225"/>
      <c r="D9" s="226" t="str">
        <f>IF(SUM(D7:D8)=0,"-",SUM(D7:D8))</f>
        <v>-</v>
      </c>
      <c r="E9" s="227" t="str">
        <f>IF(SUM(E7:E8)=0,"-",SUM(E7:E8))</f>
        <v>-</v>
      </c>
      <c r="F9" s="138">
        <f>SUM(F7:F8)</f>
        <v>0</v>
      </c>
      <c r="G9" s="138">
        <f>SUM(G7:G8)</f>
        <v>0</v>
      </c>
      <c r="H9" s="138"/>
      <c r="I9" s="139"/>
      <c r="J9" s="138"/>
      <c r="K9" s="63"/>
      <c r="L9" s="56"/>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c r="FE9" s="74"/>
    </row>
    <row r="10" spans="1:161" s="37" customFormat="1" ht="17.25" customHeight="1" x14ac:dyDescent="0.2">
      <c r="A10" s="116">
        <v>2</v>
      </c>
      <c r="B10" s="119" t="s">
        <v>54</v>
      </c>
      <c r="C10" s="119"/>
      <c r="D10" s="120"/>
      <c r="E10" s="121"/>
      <c r="F10" s="138"/>
      <c r="G10" s="138"/>
      <c r="H10" s="144"/>
      <c r="I10" s="145" t="s">
        <v>128</v>
      </c>
      <c r="J10" s="139"/>
      <c r="K10" s="56"/>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row>
    <row r="11" spans="1:161" s="37" customFormat="1" ht="11.4" x14ac:dyDescent="0.2">
      <c r="A11" s="103" t="s">
        <v>14</v>
      </c>
      <c r="B11" s="117" t="s">
        <v>55</v>
      </c>
      <c r="C11" s="117"/>
      <c r="D11" s="208">
        <v>3</v>
      </c>
      <c r="E11" s="19">
        <f>IF(D11="","",IF(D11="Not applicable","-",4))</f>
        <v>4</v>
      </c>
      <c r="F11" s="138"/>
      <c r="G11" s="138"/>
      <c r="H11" s="138"/>
      <c r="I11" s="145" t="s">
        <v>129</v>
      </c>
      <c r="J11" s="138"/>
      <c r="K11" s="63"/>
      <c r="L11" s="56"/>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c r="FE11" s="74"/>
    </row>
    <row r="12" spans="1:161" s="37" customFormat="1" ht="11.4" x14ac:dyDescent="0.2">
      <c r="A12" s="103" t="s">
        <v>13</v>
      </c>
      <c r="B12" s="117" t="s">
        <v>56</v>
      </c>
      <c r="C12" s="117"/>
      <c r="D12" s="208">
        <v>4</v>
      </c>
      <c r="E12" s="19">
        <f>IF(D12="","",IF(D12="Not applicable","-",4))</f>
        <v>4</v>
      </c>
      <c r="F12" s="138"/>
      <c r="G12" s="138"/>
      <c r="H12" s="138"/>
      <c r="I12" s="139">
        <v>0</v>
      </c>
      <c r="J12" s="138"/>
      <c r="K12" s="63"/>
      <c r="L12" s="56"/>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c r="FE12" s="74"/>
    </row>
    <row r="13" spans="1:161" s="37" customFormat="1" ht="11.4" x14ac:dyDescent="0.2">
      <c r="A13" s="103" t="s">
        <v>27</v>
      </c>
      <c r="B13" s="117" t="s">
        <v>57</v>
      </c>
      <c r="C13" s="117"/>
      <c r="D13" s="208">
        <v>4</v>
      </c>
      <c r="E13" s="19">
        <f>IF(D13="","",IF(D13="Not applicable","-",4))</f>
        <v>4</v>
      </c>
      <c r="F13" s="138"/>
      <c r="G13" s="138"/>
      <c r="H13" s="138"/>
      <c r="I13" s="139">
        <v>1</v>
      </c>
      <c r="J13" s="138"/>
      <c r="K13" s="63"/>
      <c r="L13" s="56"/>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row>
    <row r="14" spans="1:161" s="37" customFormat="1" ht="11.4" x14ac:dyDescent="0.2">
      <c r="A14" s="103" t="s">
        <v>12</v>
      </c>
      <c r="B14" s="117" t="s">
        <v>58</v>
      </c>
      <c r="C14" s="117"/>
      <c r="D14" s="208">
        <v>4</v>
      </c>
      <c r="E14" s="19">
        <f>IF(D14="","",IF(D14="Not applicable","-",4))</f>
        <v>4</v>
      </c>
      <c r="F14" s="138"/>
      <c r="G14" s="138"/>
      <c r="H14" s="138"/>
      <c r="I14" s="139">
        <v>2</v>
      </c>
      <c r="J14" s="138"/>
      <c r="K14" s="63"/>
      <c r="L14" s="56"/>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c r="FE14" s="74"/>
    </row>
    <row r="15" spans="1:161" s="37" customFormat="1" ht="11.4" x14ac:dyDescent="0.2">
      <c r="A15" s="103" t="s">
        <v>37</v>
      </c>
      <c r="B15" s="117" t="s">
        <v>59</v>
      </c>
      <c r="C15" s="117"/>
      <c r="D15" s="208">
        <v>2</v>
      </c>
      <c r="E15" s="19">
        <f>IF(D15="","",IF(D15="Not applicable","-",4))</f>
        <v>4</v>
      </c>
      <c r="F15" s="138"/>
      <c r="G15" s="138"/>
      <c r="H15" s="138"/>
      <c r="I15" s="139">
        <v>3</v>
      </c>
      <c r="J15" s="138"/>
      <c r="K15" s="63"/>
      <c r="L15" s="56"/>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c r="FE15" s="74"/>
    </row>
    <row r="16" spans="1:161" s="37" customFormat="1" ht="12" x14ac:dyDescent="0.2">
      <c r="A16" s="228"/>
      <c r="B16" s="225" t="s">
        <v>29</v>
      </c>
      <c r="C16" s="225"/>
      <c r="D16" s="229">
        <f>IF(SUM(D11:D15)=0,"-",SUM(D11:D15))</f>
        <v>17</v>
      </c>
      <c r="E16" s="227">
        <f>IF(SUM(E11:E15)=0,"-",SUM(E11:E15))</f>
        <v>20</v>
      </c>
      <c r="F16" s="138">
        <f>IF(D16="-",0,D16)</f>
        <v>17</v>
      </c>
      <c r="G16" s="138">
        <f>IF(E16="-",0,E16)</f>
        <v>20</v>
      </c>
      <c r="H16" s="138"/>
      <c r="I16" s="139">
        <v>4</v>
      </c>
      <c r="J16" s="138"/>
      <c r="K16" s="63"/>
      <c r="L16" s="56"/>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row>
    <row r="17" spans="1:161" s="37" customFormat="1" ht="12.6" thickBot="1" x14ac:dyDescent="0.25">
      <c r="A17" s="209"/>
      <c r="B17" s="230" t="s">
        <v>60</v>
      </c>
      <c r="C17" s="230"/>
      <c r="D17" s="220">
        <f>IF(F17=0,"-",F17)</f>
        <v>17</v>
      </c>
      <c r="E17" s="221">
        <f>IF(G17=0,"-",G17)</f>
        <v>20</v>
      </c>
      <c r="F17" s="138">
        <f>SUM(F9+F16)</f>
        <v>17</v>
      </c>
      <c r="G17" s="138">
        <f>SUM(G9+G16)</f>
        <v>20</v>
      </c>
      <c r="H17" s="138"/>
      <c r="I17" s="139"/>
      <c r="J17" s="138"/>
      <c r="K17" s="63"/>
      <c r="L17" s="56"/>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row>
    <row r="18" spans="1:161" s="37" customFormat="1" ht="6.75" customHeight="1" thickBot="1" x14ac:dyDescent="0.25">
      <c r="A18" s="231"/>
      <c r="B18" s="232"/>
      <c r="C18" s="232"/>
      <c r="D18" s="233"/>
      <c r="E18" s="234"/>
      <c r="F18" s="138"/>
      <c r="G18" s="138"/>
      <c r="H18" s="138"/>
      <c r="I18" s="139"/>
      <c r="J18" s="138"/>
      <c r="K18" s="63"/>
      <c r="L18" s="56"/>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row>
    <row r="19" spans="1:161" s="37" customFormat="1" ht="19.5" customHeight="1" x14ac:dyDescent="0.2">
      <c r="A19" s="70" t="s">
        <v>61</v>
      </c>
      <c r="B19" s="235" t="s">
        <v>62</v>
      </c>
      <c r="C19" s="235"/>
      <c r="D19" s="236"/>
      <c r="E19" s="237"/>
      <c r="F19" s="138"/>
      <c r="G19" s="138"/>
      <c r="H19" s="144"/>
      <c r="I19" s="144"/>
      <c r="J19" s="139"/>
      <c r="K19" s="56"/>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row>
    <row r="20" spans="1:161" s="37" customFormat="1" ht="11.4" x14ac:dyDescent="0.2">
      <c r="A20" s="103">
        <v>1</v>
      </c>
      <c r="B20" s="117" t="s">
        <v>63</v>
      </c>
      <c r="C20" s="117"/>
      <c r="D20" s="208">
        <v>4</v>
      </c>
      <c r="E20" s="19">
        <f t="shared" ref="E20:E22" si="0">IF(D20="","",IF(D20="Not applicable","-",4))</f>
        <v>4</v>
      </c>
      <c r="F20" s="138"/>
      <c r="G20" s="138"/>
      <c r="H20" s="138"/>
      <c r="I20" s="139"/>
      <c r="J20" s="138"/>
      <c r="K20" s="63"/>
      <c r="L20" s="56"/>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c r="FE20" s="74"/>
    </row>
    <row r="21" spans="1:161" s="37" customFormat="1" ht="11.4" x14ac:dyDescent="0.2">
      <c r="A21" s="103">
        <v>2</v>
      </c>
      <c r="B21" s="117" t="s">
        <v>64</v>
      </c>
      <c r="C21" s="117"/>
      <c r="D21" s="208">
        <v>4</v>
      </c>
      <c r="E21" s="19">
        <f t="shared" si="0"/>
        <v>4</v>
      </c>
      <c r="F21" s="138"/>
      <c r="G21" s="138"/>
      <c r="H21" s="138"/>
      <c r="I21" s="139"/>
      <c r="J21" s="138"/>
      <c r="K21" s="63"/>
      <c r="L21" s="56"/>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c r="FE21" s="74"/>
    </row>
    <row r="22" spans="1:161" s="37" customFormat="1" ht="11.4" x14ac:dyDescent="0.2">
      <c r="A22" s="103">
        <v>3</v>
      </c>
      <c r="B22" s="117" t="s">
        <v>65</v>
      </c>
      <c r="C22" s="117"/>
      <c r="D22" s="208">
        <v>4</v>
      </c>
      <c r="E22" s="19">
        <f t="shared" si="0"/>
        <v>4</v>
      </c>
      <c r="F22" s="138"/>
      <c r="G22" s="138"/>
      <c r="H22" s="138"/>
      <c r="I22" s="139"/>
      <c r="J22" s="138"/>
      <c r="K22" s="63"/>
      <c r="L22" s="56"/>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c r="FE22" s="74"/>
    </row>
    <row r="23" spans="1:161" s="37" customFormat="1" ht="12.6" thickBot="1" x14ac:dyDescent="0.25">
      <c r="A23" s="215"/>
      <c r="B23" s="230" t="s">
        <v>66</v>
      </c>
      <c r="C23" s="230"/>
      <c r="D23" s="220">
        <f>IF(F23=0,"-",F23)</f>
        <v>12</v>
      </c>
      <c r="E23" s="221">
        <f>IF(G23=0,"-",G23)</f>
        <v>12</v>
      </c>
      <c r="F23" s="138">
        <f>SUM(D20:D22)</f>
        <v>12</v>
      </c>
      <c r="G23" s="138">
        <f>SUM(E20:E22)</f>
        <v>12</v>
      </c>
      <c r="H23" s="138"/>
      <c r="I23" s="139"/>
      <c r="J23" s="138"/>
      <c r="K23" s="63"/>
      <c r="L23" s="56"/>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c r="FE23" s="74"/>
    </row>
    <row r="24" spans="1:161" x14ac:dyDescent="0.3">
      <c r="K24" s="148"/>
    </row>
  </sheetData>
  <sheetProtection password="C445" sheet="1" objects="1" scenarios="1" selectLockedCells="1"/>
  <mergeCells count="3">
    <mergeCell ref="A1:B2"/>
    <mergeCell ref="D1:D2"/>
    <mergeCell ref="E1:E2"/>
  </mergeCells>
  <dataValidations count="4">
    <dataValidation type="custom" showInputMessage="1" showErrorMessage="1" error="Pls enter &quot;Data not allowed&quot; or &quot;Not applicable&quot; or valid ratio/number._x000a_If not applicable, then score out of will be zero, else score out of will be considered." sqref="C7:C8" xr:uid="{00000000-0002-0000-0E00-000000000000}">
      <formula1>OR(C7="Not applicable",C7="Data not available",AND(ISNUMBER(C7)))</formula1>
    </dataValidation>
    <dataValidation type="list" allowBlank="1" showInputMessage="1" showErrorMessage="1" error="Pls enter &quot;Data not allowed&quot; or &quot;Not applicable&quot; or valid ratio/number._x000a_If not applicable, then score out of will be zero, else score out of will be considered." sqref="D20:D22 D11:D15" xr:uid="{00000000-0002-0000-0E00-000001000000}">
      <formula1>$I$10:$I$16</formula1>
    </dataValidation>
    <dataValidation type="custom" allowBlank="1" showInputMessage="1" showErrorMessage="1" error="No data required in this cell" sqref="E5:E6 E10" xr:uid="{00000000-0002-0000-0E00-000002000000}">
      <formula1>ISBLANK(E5)=TRUE</formula1>
    </dataValidation>
    <dataValidation type="custom" allowBlank="1" showInputMessage="1" showErrorMessage="1" error="Pls enter NA or a valid number" sqref="D6" xr:uid="{00000000-0002-0000-0E00-000003000000}">
      <formula1>OR(D6="NA",AND(ISNUMBER(D6)))</formula1>
    </dataValidation>
  </dataValidations>
  <pageMargins left="0.7" right="0.7" top="0.75" bottom="0.75" header="0.3" footer="0.3"/>
  <pageSetup paperSize="9" scale="87"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pageSetUpPr fitToPage="1"/>
  </sheetPr>
  <dimension ref="A1:F11"/>
  <sheetViews>
    <sheetView showGridLines="0" showRowColHeaders="0" workbookViewId="0">
      <selection activeCell="C15" sqref="C15"/>
    </sheetView>
  </sheetViews>
  <sheetFormatPr defaultColWidth="9.109375" defaultRowHeight="14.4" x14ac:dyDescent="0.3"/>
  <cols>
    <col min="1" max="1" width="21.88671875" style="98" customWidth="1"/>
    <col min="2" max="2" width="27.44140625" style="98" customWidth="1"/>
    <col min="3" max="3" width="19.33203125" style="98" customWidth="1"/>
    <col min="4" max="4" width="19.44140625" style="98" bestFit="1" customWidth="1"/>
    <col min="5" max="5" width="19.6640625" style="98" customWidth="1"/>
    <col min="6" max="6" width="15.33203125" style="98" customWidth="1"/>
    <col min="7" max="16384" width="9.109375" style="98"/>
  </cols>
  <sheetData>
    <row r="1" spans="1:6" x14ac:dyDescent="0.3">
      <c r="A1" s="245" t="s">
        <v>307</v>
      </c>
      <c r="B1" s="203"/>
      <c r="C1" s="203"/>
      <c r="D1" s="202" t="s">
        <v>111</v>
      </c>
      <c r="E1" s="203" t="str">
        <f>IF('Financial strength'!C6="","",'Financial strength'!C6)</f>
        <v/>
      </c>
      <c r="F1" s="203"/>
    </row>
    <row r="2" spans="1:6" ht="15" thickBot="1" x14ac:dyDescent="0.35"/>
    <row r="3" spans="1:6" s="129" customFormat="1" ht="18.75" customHeight="1" x14ac:dyDescent="0.3">
      <c r="A3" s="244" t="s">
        <v>103</v>
      </c>
      <c r="B3" s="243" t="s">
        <v>8</v>
      </c>
      <c r="C3" s="243" t="s">
        <v>109</v>
      </c>
      <c r="D3" s="243" t="s">
        <v>70</v>
      </c>
      <c r="E3" s="242" t="s">
        <v>20</v>
      </c>
      <c r="F3" s="241" t="s">
        <v>71</v>
      </c>
    </row>
    <row r="4" spans="1:6" x14ac:dyDescent="0.3">
      <c r="A4" s="150">
        <v>1</v>
      </c>
      <c r="B4" s="24" t="s">
        <v>68</v>
      </c>
      <c r="C4" s="166" t="str">
        <f>'Financial strength'!E45</f>
        <v>-</v>
      </c>
      <c r="D4" s="166" t="str">
        <f>'Financial strength'!D45</f>
        <v>-</v>
      </c>
      <c r="E4" s="18">
        <v>40</v>
      </c>
      <c r="F4" s="151">
        <f>IFERROR((D4*E4)/C4,0)</f>
        <v>0</v>
      </c>
    </row>
    <row r="5" spans="1:6" x14ac:dyDescent="0.3">
      <c r="A5" s="150">
        <v>2</v>
      </c>
      <c r="B5" s="24" t="s">
        <v>69</v>
      </c>
      <c r="C5" s="166">
        <f>'Business performance - Serv'!D44</f>
        <v>100</v>
      </c>
      <c r="D5" s="166">
        <f>'Business performance - Serv'!C44</f>
        <v>56.4</v>
      </c>
      <c r="E5" s="18">
        <v>20</v>
      </c>
      <c r="F5" s="151">
        <f>IFERROR((D5*E5)/C5,0)</f>
        <v>11.28</v>
      </c>
    </row>
    <row r="6" spans="1:6" x14ac:dyDescent="0.3">
      <c r="A6" s="152">
        <v>3</v>
      </c>
      <c r="B6" s="24" t="s">
        <v>50</v>
      </c>
      <c r="C6" s="166">
        <f>'Mgt Eval &amp; Conduct of ac_Serv'!E17</f>
        <v>20</v>
      </c>
      <c r="D6" s="166">
        <f>'Mgt Eval &amp; Conduct of ac_Serv'!D17</f>
        <v>17</v>
      </c>
      <c r="E6" s="18">
        <v>20</v>
      </c>
      <c r="F6" s="151">
        <f>IFERROR((D6*E6)/C6,0)</f>
        <v>17</v>
      </c>
    </row>
    <row r="7" spans="1:6" x14ac:dyDescent="0.3">
      <c r="A7" s="152">
        <v>4</v>
      </c>
      <c r="B7" s="24" t="s">
        <v>62</v>
      </c>
      <c r="C7" s="166">
        <f>'Mgt Eval &amp; Conduct of ac_Serv'!E23</f>
        <v>12</v>
      </c>
      <c r="D7" s="166">
        <f>'Mgt Eval &amp; Conduct of ac_Serv'!D23</f>
        <v>12</v>
      </c>
      <c r="E7" s="18">
        <v>20</v>
      </c>
      <c r="F7" s="151">
        <f>IFERROR((D7*E7)/C7,0)</f>
        <v>20</v>
      </c>
    </row>
    <row r="8" spans="1:6" ht="24.75" customHeight="1" thickBot="1" x14ac:dyDescent="0.35">
      <c r="A8" s="566" t="s">
        <v>67</v>
      </c>
      <c r="B8" s="567"/>
      <c r="C8" s="567"/>
      <c r="D8" s="567"/>
      <c r="E8" s="568"/>
      <c r="F8" s="240">
        <f>SUM(F4:F7)/100</f>
        <v>0.48280000000000001</v>
      </c>
    </row>
    <row r="9" spans="1:6" ht="15" thickBot="1" x14ac:dyDescent="0.35"/>
    <row r="10" spans="1:6" ht="15.6" x14ac:dyDescent="0.3">
      <c r="A10" s="239" t="s">
        <v>118</v>
      </c>
      <c r="B10" s="238" t="s">
        <v>119</v>
      </c>
      <c r="C10" s="569" t="s">
        <v>120</v>
      </c>
      <c r="D10" s="570"/>
    </row>
    <row r="11" spans="1:6" ht="16.2" thickBot="1" x14ac:dyDescent="0.35">
      <c r="A11" s="159">
        <f>F8</f>
        <v>0.48280000000000001</v>
      </c>
      <c r="B11" s="160" t="str">
        <f>IF(A11="","",IF(A11="na","-",IF(A11&lt;=30%,"C",IF(A11&lt;=40%,"B",IF(A11&lt;=50%,"BB",IF(A11&lt;=60%,"BBB",IF(A11&lt;=70%,"A",IF(A11&lt;=80%,"AA",IF(A11&gt;80%,"AAA",0)))))))))</f>
        <v>BB</v>
      </c>
      <c r="C11" s="552" t="str">
        <f>IF(B11="AAA","Minimum Risk",IF(B11="AA","Marginal Risk",IF(B11="A","Modest Risk",IF(B11="BBB","Average Risk",IF(B11="BB","Marginally acceptable Risk",IF(B11="B","High Risk",IF(B11="C","Caution",0)))))))</f>
        <v>Marginally acceptable Risk</v>
      </c>
      <c r="D11" s="553"/>
    </row>
  </sheetData>
  <sheetProtection password="C445" sheet="1" objects="1" scenarios="1" selectLockedCells="1" selectUnlockedCells="1"/>
  <mergeCells count="3">
    <mergeCell ref="A8:E8"/>
    <mergeCell ref="C10:D10"/>
    <mergeCell ref="C11:D11"/>
  </mergeCells>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11</vt:i4>
      </vt:variant>
    </vt:vector>
  </HeadingPairs>
  <TitlesOfParts>
    <vt:vector size="27" baseType="lpstr">
      <vt:lpstr>Instructions</vt:lpstr>
      <vt:lpstr>Cover page</vt:lpstr>
      <vt:lpstr>Balance Sheet</vt:lpstr>
      <vt:lpstr>Income Statement</vt:lpstr>
      <vt:lpstr>Cashflow Statement</vt:lpstr>
      <vt:lpstr>Ratio Analysis</vt:lpstr>
      <vt:lpstr>Financial strength</vt:lpstr>
      <vt:lpstr>Business performance - Manu</vt:lpstr>
      <vt:lpstr>Mgt Eval &amp; Conduct of ac_Manu</vt:lpstr>
      <vt:lpstr>Rating worksheet_Manufacturing</vt:lpstr>
      <vt:lpstr>Business performance - Trad</vt:lpstr>
      <vt:lpstr>Mgt Eval &amp; Conduct of ac_Trad</vt:lpstr>
      <vt:lpstr>Rating worksheet_Trading</vt:lpstr>
      <vt:lpstr>Business performance - Serv</vt:lpstr>
      <vt:lpstr>Mgt Eval &amp; Conduct of ac_Serv</vt:lpstr>
      <vt:lpstr>Rating worksheet_Service</vt:lpstr>
      <vt:lpstr>'Balance Sheet'!Print_Area</vt:lpstr>
      <vt:lpstr>'Business performance - Manu'!Print_Area</vt:lpstr>
      <vt:lpstr>'Business performance - Serv'!Print_Area</vt:lpstr>
      <vt:lpstr>'Business performance - Trad'!Print_Area</vt:lpstr>
      <vt:lpstr>'Cashflow Statement'!Print_Area</vt:lpstr>
      <vt:lpstr>'Financial strength'!Print_Area</vt:lpstr>
      <vt:lpstr>'Income Statement'!Print_Area</vt:lpstr>
      <vt:lpstr>'Ratio Analysis'!Print_Area</vt:lpstr>
      <vt:lpstr>'Balance Sheet'!Print_Titles</vt:lpstr>
      <vt:lpstr>'Cashflow Statement'!Print_Titles</vt:lpstr>
      <vt:lpstr>'Income Statement'!Print_Titles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satish</dc:creator>
  <cp:lastModifiedBy>vijay</cp:lastModifiedBy>
  <cp:lastPrinted>2018-08-28T14:39:34Z</cp:lastPrinted>
  <dcterms:created xsi:type="dcterms:W3CDTF">2009-09-08T14:22:13Z</dcterms:created>
  <dcterms:modified xsi:type="dcterms:W3CDTF">2021-05-21T14:50:43Z</dcterms:modified>
</cp:coreProperties>
</file>